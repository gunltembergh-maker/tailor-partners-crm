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androOliveira\Downloads\"/>
    </mc:Choice>
  </mc:AlternateContent>
  <xr:revisionPtr revIDLastSave="0" documentId="8_{126074F4-B233-4DBA-8F08-80E52C91619F}" xr6:coauthVersionLast="47" xr6:coauthVersionMax="47" xr10:uidLastSave="{00000000-0000-0000-0000-000000000000}"/>
  <bookViews>
    <workbookView xWindow="-15900" yWindow="-16320" windowWidth="29040" windowHeight="15720" xr2:uid="{8B7921C1-25A2-4E07-B01F-6AD001051D1E}"/>
  </bookViews>
  <sheets>
    <sheet name="Base CR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70" i="1" l="1"/>
  <c r="S770" i="1"/>
  <c r="R770" i="1"/>
  <c r="Q770" i="1"/>
  <c r="P770" i="1"/>
  <c r="O770" i="1"/>
  <c r="N770" i="1"/>
  <c r="T769" i="1"/>
  <c r="S769" i="1"/>
  <c r="R769" i="1"/>
  <c r="Q769" i="1"/>
  <c r="P769" i="1"/>
  <c r="O769" i="1"/>
  <c r="N769" i="1"/>
  <c r="T768" i="1"/>
  <c r="S768" i="1"/>
  <c r="R768" i="1"/>
  <c r="Q768" i="1"/>
  <c r="P768" i="1"/>
  <c r="O768" i="1"/>
  <c r="N768" i="1"/>
  <c r="T767" i="1"/>
  <c r="S767" i="1"/>
  <c r="R767" i="1"/>
  <c r="Q767" i="1"/>
  <c r="P767" i="1"/>
  <c r="O767" i="1"/>
  <c r="N767" i="1"/>
  <c r="T766" i="1"/>
  <c r="S766" i="1"/>
  <c r="R766" i="1"/>
  <c r="Q766" i="1"/>
  <c r="P766" i="1"/>
  <c r="O766" i="1"/>
  <c r="N766" i="1"/>
  <c r="T765" i="1"/>
  <c r="S765" i="1"/>
  <c r="R765" i="1"/>
  <c r="Q765" i="1"/>
  <c r="P765" i="1"/>
  <c r="O765" i="1"/>
  <c r="N765" i="1"/>
  <c r="T764" i="1"/>
  <c r="S764" i="1"/>
  <c r="R764" i="1"/>
  <c r="Q764" i="1"/>
  <c r="P764" i="1"/>
  <c r="O764" i="1"/>
  <c r="N764" i="1"/>
  <c r="T763" i="1"/>
  <c r="S763" i="1"/>
  <c r="R763" i="1"/>
  <c r="Q763" i="1"/>
  <c r="P763" i="1"/>
  <c r="O763" i="1"/>
  <c r="N763" i="1"/>
  <c r="T762" i="1"/>
  <c r="S762" i="1"/>
  <c r="R762" i="1"/>
  <c r="Q762" i="1"/>
  <c r="P762" i="1"/>
  <c r="O762" i="1"/>
  <c r="N762" i="1"/>
  <c r="T761" i="1"/>
  <c r="S761" i="1"/>
  <c r="R761" i="1"/>
  <c r="Q761" i="1"/>
  <c r="P761" i="1"/>
  <c r="O761" i="1"/>
  <c r="N761" i="1"/>
  <c r="T760" i="1"/>
  <c r="S760" i="1"/>
  <c r="R760" i="1"/>
  <c r="Q760" i="1"/>
  <c r="P760" i="1"/>
  <c r="O760" i="1"/>
  <c r="N760" i="1"/>
  <c r="T759" i="1"/>
  <c r="S759" i="1"/>
  <c r="R759" i="1"/>
  <c r="Q759" i="1"/>
  <c r="P759" i="1"/>
  <c r="O759" i="1"/>
  <c r="N759" i="1"/>
  <c r="T758" i="1"/>
  <c r="S758" i="1"/>
  <c r="R758" i="1"/>
  <c r="Q758" i="1"/>
  <c r="P758" i="1"/>
  <c r="O758" i="1"/>
  <c r="N758" i="1"/>
  <c r="T757" i="1"/>
  <c r="S757" i="1"/>
  <c r="R757" i="1"/>
  <c r="Q757" i="1"/>
  <c r="P757" i="1"/>
  <c r="O757" i="1"/>
  <c r="N757" i="1"/>
  <c r="T756" i="1"/>
  <c r="S756" i="1"/>
  <c r="R756" i="1"/>
  <c r="Q756" i="1"/>
  <c r="P756" i="1"/>
  <c r="O756" i="1"/>
  <c r="N756" i="1"/>
  <c r="T755" i="1"/>
  <c r="S755" i="1"/>
  <c r="R755" i="1"/>
  <c r="Q755" i="1"/>
  <c r="P755" i="1"/>
  <c r="O755" i="1"/>
  <c r="N755" i="1"/>
  <c r="T754" i="1"/>
  <c r="S754" i="1"/>
  <c r="R754" i="1"/>
  <c r="Q754" i="1"/>
  <c r="P754" i="1"/>
  <c r="O754" i="1"/>
  <c r="N754" i="1"/>
  <c r="T753" i="1"/>
  <c r="S753" i="1"/>
  <c r="R753" i="1"/>
  <c r="Q753" i="1"/>
  <c r="P753" i="1"/>
  <c r="O753" i="1"/>
  <c r="N753" i="1"/>
  <c r="T752" i="1"/>
  <c r="S752" i="1"/>
  <c r="R752" i="1"/>
  <c r="Q752" i="1"/>
  <c r="P752" i="1"/>
  <c r="O752" i="1"/>
  <c r="N752" i="1"/>
  <c r="T751" i="1"/>
  <c r="S751" i="1"/>
  <c r="R751" i="1"/>
  <c r="Q751" i="1"/>
  <c r="P751" i="1"/>
  <c r="O751" i="1"/>
  <c r="N751" i="1"/>
  <c r="T750" i="1"/>
  <c r="S750" i="1"/>
  <c r="R750" i="1"/>
  <c r="Q750" i="1"/>
  <c r="P750" i="1"/>
  <c r="O750" i="1"/>
  <c r="N750" i="1"/>
  <c r="T749" i="1"/>
  <c r="S749" i="1"/>
  <c r="R749" i="1"/>
  <c r="Q749" i="1"/>
  <c r="P749" i="1"/>
  <c r="O749" i="1"/>
  <c r="N749" i="1"/>
  <c r="T748" i="1"/>
  <c r="S748" i="1"/>
  <c r="R748" i="1"/>
  <c r="Q748" i="1"/>
  <c r="P748" i="1"/>
  <c r="O748" i="1"/>
  <c r="N748" i="1"/>
  <c r="T747" i="1"/>
  <c r="S747" i="1"/>
  <c r="R747" i="1"/>
  <c r="Q747" i="1"/>
  <c r="P747" i="1"/>
  <c r="O747" i="1"/>
  <c r="N747" i="1"/>
  <c r="T746" i="1"/>
  <c r="S746" i="1"/>
  <c r="R746" i="1"/>
  <c r="Q746" i="1"/>
  <c r="P746" i="1"/>
  <c r="O746" i="1"/>
  <c r="N746" i="1"/>
  <c r="T745" i="1"/>
  <c r="S745" i="1"/>
  <c r="R745" i="1"/>
  <c r="Q745" i="1"/>
  <c r="P745" i="1"/>
  <c r="O745" i="1"/>
  <c r="N745" i="1"/>
  <c r="T744" i="1"/>
  <c r="S744" i="1"/>
  <c r="R744" i="1"/>
  <c r="Q744" i="1"/>
  <c r="P744" i="1"/>
  <c r="O744" i="1"/>
  <c r="N744" i="1"/>
  <c r="T743" i="1"/>
  <c r="S743" i="1"/>
  <c r="R743" i="1"/>
  <c r="Q743" i="1"/>
  <c r="P743" i="1"/>
  <c r="O743" i="1"/>
  <c r="N743" i="1"/>
  <c r="T742" i="1"/>
  <c r="S742" i="1"/>
  <c r="R742" i="1"/>
  <c r="Q742" i="1"/>
  <c r="P742" i="1"/>
  <c r="O742" i="1"/>
  <c r="N742" i="1"/>
  <c r="T741" i="1"/>
  <c r="S741" i="1"/>
  <c r="R741" i="1"/>
  <c r="Q741" i="1"/>
  <c r="P741" i="1"/>
  <c r="O741" i="1"/>
  <c r="N741" i="1"/>
  <c r="T740" i="1"/>
  <c r="S740" i="1"/>
  <c r="R740" i="1"/>
  <c r="Q740" i="1"/>
  <c r="P740" i="1"/>
  <c r="O740" i="1"/>
  <c r="N740" i="1"/>
  <c r="T739" i="1"/>
  <c r="S739" i="1"/>
  <c r="R739" i="1"/>
  <c r="Q739" i="1"/>
  <c r="P739" i="1"/>
  <c r="O739" i="1"/>
  <c r="N739" i="1"/>
  <c r="T738" i="1"/>
  <c r="S738" i="1"/>
  <c r="R738" i="1"/>
  <c r="Q738" i="1"/>
  <c r="P738" i="1"/>
  <c r="O738" i="1"/>
  <c r="N738" i="1"/>
  <c r="T737" i="1"/>
  <c r="S737" i="1"/>
  <c r="R737" i="1"/>
  <c r="Q737" i="1"/>
  <c r="P737" i="1"/>
  <c r="O737" i="1"/>
  <c r="N737" i="1"/>
  <c r="T736" i="1"/>
  <c r="S736" i="1"/>
  <c r="R736" i="1"/>
  <c r="Q736" i="1"/>
  <c r="P736" i="1"/>
  <c r="O736" i="1"/>
  <c r="N736" i="1"/>
  <c r="T735" i="1"/>
  <c r="S735" i="1"/>
  <c r="R735" i="1"/>
  <c r="Q735" i="1"/>
  <c r="P735" i="1"/>
  <c r="O735" i="1"/>
  <c r="N735" i="1"/>
  <c r="T734" i="1"/>
  <c r="S734" i="1"/>
  <c r="R734" i="1"/>
  <c r="Q734" i="1"/>
  <c r="P734" i="1"/>
  <c r="O734" i="1"/>
  <c r="N734" i="1"/>
  <c r="T733" i="1"/>
  <c r="S733" i="1"/>
  <c r="R733" i="1"/>
  <c r="Q733" i="1"/>
  <c r="P733" i="1"/>
  <c r="O733" i="1"/>
  <c r="N733" i="1"/>
  <c r="T732" i="1"/>
  <c r="S732" i="1"/>
  <c r="R732" i="1"/>
  <c r="Q732" i="1"/>
  <c r="P732" i="1"/>
  <c r="O732" i="1"/>
  <c r="N732" i="1"/>
  <c r="T731" i="1"/>
  <c r="S731" i="1"/>
  <c r="R731" i="1"/>
  <c r="Q731" i="1"/>
  <c r="P731" i="1"/>
  <c r="O731" i="1"/>
  <c r="N731" i="1"/>
  <c r="T730" i="1"/>
  <c r="S730" i="1"/>
  <c r="R730" i="1"/>
  <c r="Q730" i="1"/>
  <c r="P730" i="1"/>
  <c r="O730" i="1"/>
  <c r="N730" i="1"/>
  <c r="T729" i="1"/>
  <c r="S729" i="1"/>
  <c r="R729" i="1"/>
  <c r="Q729" i="1"/>
  <c r="P729" i="1"/>
  <c r="O729" i="1"/>
  <c r="N729" i="1"/>
  <c r="T728" i="1"/>
  <c r="S728" i="1"/>
  <c r="R728" i="1"/>
  <c r="Q728" i="1"/>
  <c r="P728" i="1"/>
  <c r="O728" i="1"/>
  <c r="N728" i="1"/>
  <c r="T727" i="1"/>
  <c r="S727" i="1"/>
  <c r="R727" i="1"/>
  <c r="Q727" i="1"/>
  <c r="P727" i="1"/>
  <c r="O727" i="1"/>
  <c r="N727" i="1"/>
  <c r="T726" i="1"/>
  <c r="S726" i="1"/>
  <c r="R726" i="1"/>
  <c r="Q726" i="1"/>
  <c r="P726" i="1"/>
  <c r="O726" i="1"/>
  <c r="N726" i="1"/>
  <c r="T725" i="1"/>
  <c r="S725" i="1"/>
  <c r="R725" i="1"/>
  <c r="Q725" i="1"/>
  <c r="P725" i="1"/>
  <c r="O725" i="1"/>
  <c r="N725" i="1"/>
  <c r="T724" i="1"/>
  <c r="S724" i="1"/>
  <c r="R724" i="1"/>
  <c r="Q724" i="1"/>
  <c r="P724" i="1"/>
  <c r="O724" i="1"/>
  <c r="N724" i="1"/>
  <c r="T723" i="1"/>
  <c r="S723" i="1"/>
  <c r="R723" i="1"/>
  <c r="Q723" i="1"/>
  <c r="P723" i="1"/>
  <c r="O723" i="1"/>
  <c r="N723" i="1"/>
  <c r="T722" i="1"/>
  <c r="S722" i="1"/>
  <c r="R722" i="1"/>
  <c r="Q722" i="1"/>
  <c r="P722" i="1"/>
  <c r="O722" i="1"/>
  <c r="N722" i="1"/>
  <c r="T721" i="1"/>
  <c r="S721" i="1"/>
  <c r="R721" i="1"/>
  <c r="Q721" i="1"/>
  <c r="P721" i="1"/>
  <c r="O721" i="1"/>
  <c r="N721" i="1"/>
  <c r="T720" i="1"/>
  <c r="S720" i="1"/>
  <c r="R720" i="1"/>
  <c r="Q720" i="1"/>
  <c r="P720" i="1"/>
  <c r="O720" i="1"/>
  <c r="N720" i="1"/>
  <c r="T719" i="1"/>
  <c r="S719" i="1"/>
  <c r="R719" i="1"/>
  <c r="Q719" i="1"/>
  <c r="P719" i="1"/>
  <c r="O719" i="1"/>
  <c r="N719" i="1"/>
  <c r="T718" i="1"/>
  <c r="S718" i="1"/>
  <c r="R718" i="1"/>
  <c r="Q718" i="1"/>
  <c r="P718" i="1"/>
  <c r="O718" i="1"/>
  <c r="N718" i="1"/>
  <c r="T717" i="1"/>
  <c r="S717" i="1"/>
  <c r="R717" i="1"/>
  <c r="Q717" i="1"/>
  <c r="P717" i="1"/>
  <c r="O717" i="1"/>
  <c r="N717" i="1"/>
  <c r="T716" i="1"/>
  <c r="S716" i="1"/>
  <c r="R716" i="1"/>
  <c r="Q716" i="1"/>
  <c r="P716" i="1"/>
  <c r="O716" i="1"/>
  <c r="N716" i="1"/>
  <c r="T715" i="1"/>
  <c r="S715" i="1"/>
  <c r="R715" i="1"/>
  <c r="Q715" i="1"/>
  <c r="P715" i="1"/>
  <c r="O715" i="1"/>
  <c r="N715" i="1"/>
  <c r="T714" i="1"/>
  <c r="S714" i="1"/>
  <c r="R714" i="1"/>
  <c r="Q714" i="1"/>
  <c r="P714" i="1"/>
  <c r="O714" i="1"/>
  <c r="N714" i="1"/>
  <c r="T713" i="1"/>
  <c r="S713" i="1"/>
  <c r="R713" i="1"/>
  <c r="Q713" i="1"/>
  <c r="P713" i="1"/>
  <c r="O713" i="1"/>
  <c r="N713" i="1"/>
  <c r="T712" i="1"/>
  <c r="S712" i="1"/>
  <c r="R712" i="1"/>
  <c r="Q712" i="1"/>
  <c r="P712" i="1"/>
  <c r="O712" i="1"/>
  <c r="N712" i="1"/>
  <c r="T711" i="1"/>
  <c r="S711" i="1"/>
  <c r="R711" i="1"/>
  <c r="Q711" i="1"/>
  <c r="P711" i="1"/>
  <c r="O711" i="1"/>
  <c r="N711" i="1"/>
  <c r="T710" i="1"/>
  <c r="S710" i="1"/>
  <c r="R710" i="1"/>
  <c r="Q710" i="1"/>
  <c r="P710" i="1"/>
  <c r="O710" i="1"/>
  <c r="N710" i="1"/>
  <c r="T709" i="1"/>
  <c r="S709" i="1"/>
  <c r="R709" i="1"/>
  <c r="Q709" i="1"/>
  <c r="P709" i="1"/>
  <c r="O709" i="1"/>
  <c r="N709" i="1"/>
  <c r="T708" i="1"/>
  <c r="S708" i="1"/>
  <c r="R708" i="1"/>
  <c r="Q708" i="1"/>
  <c r="P708" i="1"/>
  <c r="O708" i="1"/>
  <c r="N708" i="1"/>
  <c r="T707" i="1"/>
  <c r="S707" i="1"/>
  <c r="R707" i="1"/>
  <c r="Q707" i="1"/>
  <c r="P707" i="1"/>
  <c r="O707" i="1"/>
  <c r="N707" i="1"/>
  <c r="T706" i="1"/>
  <c r="S706" i="1"/>
  <c r="R706" i="1"/>
  <c r="Q706" i="1"/>
  <c r="P706" i="1"/>
  <c r="O706" i="1"/>
  <c r="N706" i="1"/>
  <c r="T705" i="1"/>
  <c r="S705" i="1"/>
  <c r="R705" i="1"/>
  <c r="Q705" i="1"/>
  <c r="P705" i="1"/>
  <c r="O705" i="1"/>
  <c r="N705" i="1"/>
  <c r="T704" i="1"/>
  <c r="S704" i="1"/>
  <c r="R704" i="1"/>
  <c r="Q704" i="1"/>
  <c r="P704" i="1"/>
  <c r="O704" i="1"/>
  <c r="N704" i="1"/>
  <c r="T703" i="1"/>
  <c r="S703" i="1"/>
  <c r="R703" i="1"/>
  <c r="Q703" i="1"/>
  <c r="P703" i="1"/>
  <c r="O703" i="1"/>
  <c r="N703" i="1"/>
  <c r="T702" i="1"/>
  <c r="S702" i="1"/>
  <c r="R702" i="1"/>
  <c r="Q702" i="1"/>
  <c r="P702" i="1"/>
  <c r="O702" i="1"/>
  <c r="N702" i="1"/>
  <c r="T701" i="1"/>
  <c r="S701" i="1"/>
  <c r="R701" i="1"/>
  <c r="Q701" i="1"/>
  <c r="P701" i="1"/>
  <c r="O701" i="1"/>
  <c r="N701" i="1"/>
  <c r="T700" i="1"/>
  <c r="S700" i="1"/>
  <c r="R700" i="1"/>
  <c r="Q700" i="1"/>
  <c r="P700" i="1"/>
  <c r="O700" i="1"/>
  <c r="N700" i="1"/>
  <c r="T699" i="1"/>
  <c r="S699" i="1"/>
  <c r="R699" i="1"/>
  <c r="Q699" i="1"/>
  <c r="P699" i="1"/>
  <c r="O699" i="1"/>
  <c r="N699" i="1"/>
  <c r="T698" i="1"/>
  <c r="S698" i="1"/>
  <c r="R698" i="1"/>
  <c r="Q698" i="1"/>
  <c r="P698" i="1"/>
  <c r="O698" i="1"/>
  <c r="N698" i="1"/>
  <c r="T697" i="1"/>
  <c r="S697" i="1"/>
  <c r="R697" i="1"/>
  <c r="Q697" i="1"/>
  <c r="P697" i="1"/>
  <c r="O697" i="1"/>
  <c r="N697" i="1"/>
  <c r="T696" i="1"/>
  <c r="S696" i="1"/>
  <c r="R696" i="1"/>
  <c r="Q696" i="1"/>
  <c r="P696" i="1"/>
  <c r="O696" i="1"/>
  <c r="N696" i="1"/>
  <c r="T695" i="1"/>
  <c r="S695" i="1"/>
  <c r="R695" i="1"/>
  <c r="Q695" i="1"/>
  <c r="P695" i="1"/>
  <c r="O695" i="1"/>
  <c r="N695" i="1"/>
  <c r="T694" i="1"/>
  <c r="S694" i="1"/>
  <c r="R694" i="1"/>
  <c r="Q694" i="1"/>
  <c r="P694" i="1"/>
  <c r="O694" i="1"/>
  <c r="N694" i="1"/>
  <c r="T693" i="1"/>
  <c r="S693" i="1"/>
  <c r="R693" i="1"/>
  <c r="Q693" i="1"/>
  <c r="P693" i="1"/>
  <c r="O693" i="1"/>
  <c r="N693" i="1"/>
  <c r="T692" i="1"/>
  <c r="S692" i="1"/>
  <c r="R692" i="1"/>
  <c r="Q692" i="1"/>
  <c r="P692" i="1"/>
  <c r="O692" i="1"/>
  <c r="N692" i="1"/>
  <c r="T691" i="1"/>
  <c r="S691" i="1"/>
  <c r="R691" i="1"/>
  <c r="Q691" i="1"/>
  <c r="P691" i="1"/>
  <c r="O691" i="1"/>
  <c r="N691" i="1"/>
  <c r="T690" i="1"/>
  <c r="S690" i="1"/>
  <c r="R690" i="1"/>
  <c r="Q690" i="1"/>
  <c r="P690" i="1"/>
  <c r="O690" i="1"/>
  <c r="N690" i="1"/>
  <c r="T689" i="1"/>
  <c r="S689" i="1"/>
  <c r="R689" i="1"/>
  <c r="Q689" i="1"/>
  <c r="P689" i="1"/>
  <c r="O689" i="1"/>
  <c r="N689" i="1"/>
  <c r="T688" i="1"/>
  <c r="S688" i="1"/>
  <c r="R688" i="1"/>
  <c r="Q688" i="1"/>
  <c r="P688" i="1"/>
  <c r="O688" i="1"/>
  <c r="N688" i="1"/>
  <c r="T687" i="1"/>
  <c r="S687" i="1"/>
  <c r="R687" i="1"/>
  <c r="Q687" i="1"/>
  <c r="P687" i="1"/>
  <c r="O687" i="1"/>
  <c r="N687" i="1"/>
  <c r="T686" i="1"/>
  <c r="S686" i="1"/>
  <c r="R686" i="1"/>
  <c r="Q686" i="1"/>
  <c r="P686" i="1"/>
  <c r="O686" i="1"/>
  <c r="N686" i="1"/>
  <c r="T685" i="1"/>
  <c r="S685" i="1"/>
  <c r="R685" i="1"/>
  <c r="Q685" i="1"/>
  <c r="P685" i="1"/>
  <c r="O685" i="1"/>
  <c r="N685" i="1"/>
  <c r="T684" i="1"/>
  <c r="S684" i="1"/>
  <c r="R684" i="1"/>
  <c r="Q684" i="1"/>
  <c r="P684" i="1"/>
  <c r="O684" i="1"/>
  <c r="N684" i="1"/>
  <c r="T683" i="1"/>
  <c r="S683" i="1"/>
  <c r="R683" i="1"/>
  <c r="Q683" i="1"/>
  <c r="P683" i="1"/>
  <c r="O683" i="1"/>
  <c r="N683" i="1"/>
  <c r="T682" i="1"/>
  <c r="S682" i="1"/>
  <c r="R682" i="1"/>
  <c r="Q682" i="1"/>
  <c r="P682" i="1"/>
  <c r="O682" i="1"/>
  <c r="N682" i="1"/>
  <c r="T681" i="1"/>
  <c r="S681" i="1"/>
  <c r="R681" i="1"/>
  <c r="Q681" i="1"/>
  <c r="P681" i="1"/>
  <c r="O681" i="1"/>
  <c r="N681" i="1"/>
  <c r="T680" i="1"/>
  <c r="S680" i="1"/>
  <c r="R680" i="1"/>
  <c r="Q680" i="1"/>
  <c r="P680" i="1"/>
  <c r="O680" i="1"/>
  <c r="N680" i="1"/>
  <c r="T679" i="1"/>
  <c r="S679" i="1"/>
  <c r="R679" i="1"/>
  <c r="Q679" i="1"/>
  <c r="P679" i="1"/>
  <c r="O679" i="1"/>
  <c r="N679" i="1"/>
  <c r="T678" i="1"/>
  <c r="S678" i="1"/>
  <c r="R678" i="1"/>
  <c r="Q678" i="1"/>
  <c r="P678" i="1"/>
  <c r="O678" i="1"/>
  <c r="N678" i="1"/>
  <c r="T677" i="1"/>
  <c r="S677" i="1"/>
  <c r="R677" i="1"/>
  <c r="Q677" i="1"/>
  <c r="P677" i="1"/>
  <c r="O677" i="1"/>
  <c r="N677" i="1"/>
  <c r="T676" i="1"/>
  <c r="S676" i="1"/>
  <c r="R676" i="1"/>
  <c r="Q676" i="1"/>
  <c r="P676" i="1"/>
  <c r="O676" i="1"/>
  <c r="N676" i="1"/>
  <c r="T675" i="1"/>
  <c r="S675" i="1"/>
  <c r="R675" i="1"/>
  <c r="Q675" i="1"/>
  <c r="P675" i="1"/>
  <c r="O675" i="1"/>
  <c r="N675" i="1"/>
  <c r="T674" i="1"/>
  <c r="S674" i="1"/>
  <c r="R674" i="1"/>
  <c r="Q674" i="1"/>
  <c r="P674" i="1"/>
  <c r="O674" i="1"/>
  <c r="N674" i="1"/>
  <c r="T673" i="1"/>
  <c r="S673" i="1"/>
  <c r="R673" i="1"/>
  <c r="Q673" i="1"/>
  <c r="P673" i="1"/>
  <c r="O673" i="1"/>
  <c r="N673" i="1"/>
  <c r="T672" i="1"/>
  <c r="S672" i="1"/>
  <c r="R672" i="1"/>
  <c r="Q672" i="1"/>
  <c r="P672" i="1"/>
  <c r="O672" i="1"/>
  <c r="N672" i="1"/>
  <c r="T671" i="1"/>
  <c r="S671" i="1"/>
  <c r="R671" i="1"/>
  <c r="Q671" i="1"/>
  <c r="P671" i="1"/>
  <c r="O671" i="1"/>
  <c r="N671" i="1"/>
  <c r="T670" i="1"/>
  <c r="S670" i="1"/>
  <c r="R670" i="1"/>
  <c r="Q670" i="1"/>
  <c r="P670" i="1"/>
  <c r="O670" i="1"/>
  <c r="N670" i="1"/>
  <c r="T669" i="1"/>
  <c r="S669" i="1"/>
  <c r="R669" i="1"/>
  <c r="Q669" i="1"/>
  <c r="P669" i="1"/>
  <c r="O669" i="1"/>
  <c r="N669" i="1"/>
  <c r="T668" i="1"/>
  <c r="S668" i="1"/>
  <c r="R668" i="1"/>
  <c r="Q668" i="1"/>
  <c r="P668" i="1"/>
  <c r="O668" i="1"/>
  <c r="N668" i="1"/>
  <c r="T667" i="1"/>
  <c r="S667" i="1"/>
  <c r="R667" i="1"/>
  <c r="Q667" i="1"/>
  <c r="P667" i="1"/>
  <c r="O667" i="1"/>
  <c r="N667" i="1"/>
  <c r="T666" i="1"/>
  <c r="S666" i="1"/>
  <c r="R666" i="1"/>
  <c r="Q666" i="1"/>
  <c r="P666" i="1"/>
  <c r="O666" i="1"/>
  <c r="N666" i="1"/>
  <c r="T665" i="1"/>
  <c r="S665" i="1"/>
  <c r="R665" i="1"/>
  <c r="Q665" i="1"/>
  <c r="P665" i="1"/>
  <c r="O665" i="1"/>
  <c r="N665" i="1"/>
  <c r="T664" i="1"/>
  <c r="S664" i="1"/>
  <c r="R664" i="1"/>
  <c r="Q664" i="1"/>
  <c r="P664" i="1"/>
  <c r="O664" i="1"/>
  <c r="N664" i="1"/>
  <c r="T663" i="1"/>
  <c r="S663" i="1"/>
  <c r="R663" i="1"/>
  <c r="Q663" i="1"/>
  <c r="P663" i="1"/>
  <c r="O663" i="1"/>
  <c r="N663" i="1"/>
  <c r="T662" i="1"/>
  <c r="S662" i="1"/>
  <c r="R662" i="1"/>
  <c r="Q662" i="1"/>
  <c r="P662" i="1"/>
  <c r="O662" i="1"/>
  <c r="N662" i="1"/>
  <c r="T661" i="1"/>
  <c r="S661" i="1"/>
  <c r="R661" i="1"/>
  <c r="Q661" i="1"/>
  <c r="P661" i="1"/>
  <c r="O661" i="1"/>
  <c r="N661" i="1"/>
  <c r="T660" i="1"/>
  <c r="S660" i="1"/>
  <c r="R660" i="1"/>
  <c r="Q660" i="1"/>
  <c r="P660" i="1"/>
  <c r="O660" i="1"/>
  <c r="N660" i="1"/>
  <c r="T659" i="1"/>
  <c r="S659" i="1"/>
  <c r="R659" i="1"/>
  <c r="Q659" i="1"/>
  <c r="P659" i="1"/>
  <c r="O659" i="1"/>
  <c r="N659" i="1"/>
  <c r="T658" i="1"/>
  <c r="S658" i="1"/>
  <c r="R658" i="1"/>
  <c r="Q658" i="1"/>
  <c r="P658" i="1"/>
  <c r="O658" i="1"/>
  <c r="N658" i="1"/>
  <c r="T657" i="1"/>
  <c r="S657" i="1"/>
  <c r="R657" i="1"/>
  <c r="Q657" i="1"/>
  <c r="P657" i="1"/>
  <c r="O657" i="1"/>
  <c r="N657" i="1"/>
  <c r="T656" i="1"/>
  <c r="S656" i="1"/>
  <c r="R656" i="1"/>
  <c r="Q656" i="1"/>
  <c r="P656" i="1"/>
  <c r="O656" i="1"/>
  <c r="N656" i="1"/>
  <c r="T655" i="1"/>
  <c r="S655" i="1"/>
  <c r="R655" i="1"/>
  <c r="Q655" i="1"/>
  <c r="P655" i="1"/>
  <c r="O655" i="1"/>
  <c r="N655" i="1"/>
  <c r="T654" i="1"/>
  <c r="S654" i="1"/>
  <c r="R654" i="1"/>
  <c r="Q654" i="1"/>
  <c r="P654" i="1"/>
  <c r="O654" i="1"/>
  <c r="N654" i="1"/>
  <c r="T653" i="1"/>
  <c r="S653" i="1"/>
  <c r="R653" i="1"/>
  <c r="Q653" i="1"/>
  <c r="P653" i="1"/>
  <c r="O653" i="1"/>
  <c r="N653" i="1"/>
  <c r="T652" i="1"/>
  <c r="S652" i="1"/>
  <c r="R652" i="1"/>
  <c r="Q652" i="1"/>
  <c r="P652" i="1"/>
  <c r="O652" i="1"/>
  <c r="N652" i="1"/>
  <c r="T651" i="1"/>
  <c r="S651" i="1"/>
  <c r="R651" i="1"/>
  <c r="Q651" i="1"/>
  <c r="P651" i="1"/>
  <c r="O651" i="1"/>
  <c r="N651" i="1"/>
  <c r="T650" i="1"/>
  <c r="S650" i="1"/>
  <c r="R650" i="1"/>
  <c r="Q650" i="1"/>
  <c r="P650" i="1"/>
  <c r="O650" i="1"/>
  <c r="N650" i="1"/>
  <c r="T649" i="1"/>
  <c r="S649" i="1"/>
  <c r="R649" i="1"/>
  <c r="Q649" i="1"/>
  <c r="P649" i="1"/>
  <c r="O649" i="1"/>
  <c r="N649" i="1"/>
  <c r="T648" i="1"/>
  <c r="S648" i="1"/>
  <c r="R648" i="1"/>
  <c r="Q648" i="1"/>
  <c r="P648" i="1"/>
  <c r="O648" i="1"/>
  <c r="N648" i="1"/>
  <c r="T647" i="1"/>
  <c r="S647" i="1"/>
  <c r="R647" i="1"/>
  <c r="Q647" i="1"/>
  <c r="P647" i="1"/>
  <c r="O647" i="1"/>
  <c r="N647" i="1"/>
  <c r="T646" i="1"/>
  <c r="S646" i="1"/>
  <c r="R646" i="1"/>
  <c r="Q646" i="1"/>
  <c r="P646" i="1"/>
  <c r="O646" i="1"/>
  <c r="N646" i="1"/>
  <c r="T645" i="1"/>
  <c r="S645" i="1"/>
  <c r="R645" i="1"/>
  <c r="Q645" i="1"/>
  <c r="P645" i="1"/>
  <c r="O645" i="1"/>
  <c r="N645" i="1"/>
  <c r="T644" i="1"/>
  <c r="S644" i="1"/>
  <c r="R644" i="1"/>
  <c r="Q644" i="1"/>
  <c r="P644" i="1"/>
  <c r="O644" i="1"/>
  <c r="N644" i="1"/>
  <c r="T643" i="1"/>
  <c r="S643" i="1"/>
  <c r="R643" i="1"/>
  <c r="Q643" i="1"/>
  <c r="P643" i="1"/>
  <c r="O643" i="1"/>
  <c r="N643" i="1"/>
  <c r="T642" i="1"/>
  <c r="S642" i="1"/>
  <c r="R642" i="1"/>
  <c r="Q642" i="1"/>
  <c r="P642" i="1"/>
  <c r="O642" i="1"/>
  <c r="N642" i="1"/>
  <c r="T641" i="1"/>
  <c r="S641" i="1"/>
  <c r="R641" i="1"/>
  <c r="Q641" i="1"/>
  <c r="P641" i="1"/>
  <c r="O641" i="1"/>
  <c r="N641" i="1"/>
  <c r="T640" i="1"/>
  <c r="S640" i="1"/>
  <c r="R640" i="1"/>
  <c r="Q640" i="1"/>
  <c r="P640" i="1"/>
  <c r="O640" i="1"/>
  <c r="N640" i="1"/>
  <c r="T639" i="1"/>
  <c r="S639" i="1"/>
  <c r="R639" i="1"/>
  <c r="Q639" i="1"/>
  <c r="P639" i="1"/>
  <c r="O639" i="1"/>
  <c r="N639" i="1"/>
  <c r="T638" i="1"/>
  <c r="S638" i="1"/>
  <c r="R638" i="1"/>
  <c r="Q638" i="1"/>
  <c r="P638" i="1"/>
  <c r="O638" i="1"/>
  <c r="N638" i="1"/>
  <c r="T637" i="1"/>
  <c r="S637" i="1"/>
  <c r="R637" i="1"/>
  <c r="Q637" i="1"/>
  <c r="P637" i="1"/>
  <c r="O637" i="1"/>
  <c r="N637" i="1"/>
  <c r="T636" i="1"/>
  <c r="S636" i="1"/>
  <c r="R636" i="1"/>
  <c r="Q636" i="1"/>
  <c r="P636" i="1"/>
  <c r="O636" i="1"/>
  <c r="N636" i="1"/>
  <c r="T635" i="1"/>
  <c r="S635" i="1"/>
  <c r="R635" i="1"/>
  <c r="Q635" i="1"/>
  <c r="P635" i="1"/>
  <c r="O635" i="1"/>
  <c r="N635" i="1"/>
  <c r="T634" i="1"/>
  <c r="S634" i="1"/>
  <c r="R634" i="1"/>
  <c r="Q634" i="1"/>
  <c r="P634" i="1"/>
  <c r="O634" i="1"/>
  <c r="N634" i="1"/>
  <c r="T633" i="1"/>
  <c r="S633" i="1"/>
  <c r="R633" i="1"/>
  <c r="Q633" i="1"/>
  <c r="P633" i="1"/>
  <c r="O633" i="1"/>
  <c r="N633" i="1"/>
  <c r="T632" i="1"/>
  <c r="S632" i="1"/>
  <c r="R632" i="1"/>
  <c r="Q632" i="1"/>
  <c r="P632" i="1"/>
  <c r="O632" i="1"/>
  <c r="N632" i="1"/>
  <c r="T631" i="1"/>
  <c r="S631" i="1"/>
  <c r="R631" i="1"/>
  <c r="Q631" i="1"/>
  <c r="P631" i="1"/>
  <c r="O631" i="1"/>
  <c r="N631" i="1"/>
  <c r="T630" i="1"/>
  <c r="S630" i="1"/>
  <c r="R630" i="1"/>
  <c r="Q630" i="1"/>
  <c r="P630" i="1"/>
  <c r="O630" i="1"/>
  <c r="N630" i="1"/>
  <c r="T629" i="1"/>
  <c r="S629" i="1"/>
  <c r="R629" i="1"/>
  <c r="Q629" i="1"/>
  <c r="P629" i="1"/>
  <c r="O629" i="1"/>
  <c r="N629" i="1"/>
  <c r="T628" i="1"/>
  <c r="S628" i="1"/>
  <c r="R628" i="1"/>
  <c r="Q628" i="1"/>
  <c r="P628" i="1"/>
  <c r="O628" i="1"/>
  <c r="N628" i="1"/>
  <c r="T627" i="1"/>
  <c r="S627" i="1"/>
  <c r="R627" i="1"/>
  <c r="Q627" i="1"/>
  <c r="P627" i="1"/>
  <c r="O627" i="1"/>
  <c r="N627" i="1"/>
  <c r="T626" i="1"/>
  <c r="S626" i="1"/>
  <c r="R626" i="1"/>
  <c r="Q626" i="1"/>
  <c r="P626" i="1"/>
  <c r="O626" i="1"/>
  <c r="N626" i="1"/>
  <c r="T625" i="1"/>
  <c r="S625" i="1"/>
  <c r="R625" i="1"/>
  <c r="Q625" i="1"/>
  <c r="P625" i="1"/>
  <c r="O625" i="1"/>
  <c r="N625" i="1"/>
  <c r="T624" i="1"/>
  <c r="S624" i="1"/>
  <c r="R624" i="1"/>
  <c r="Q624" i="1"/>
  <c r="P624" i="1"/>
  <c r="O624" i="1"/>
  <c r="N624" i="1"/>
  <c r="T623" i="1"/>
  <c r="S623" i="1"/>
  <c r="R623" i="1"/>
  <c r="Q623" i="1"/>
  <c r="P623" i="1"/>
  <c r="O623" i="1"/>
  <c r="N623" i="1"/>
  <c r="T622" i="1"/>
  <c r="S622" i="1"/>
  <c r="R622" i="1"/>
  <c r="Q622" i="1"/>
  <c r="P622" i="1"/>
  <c r="O622" i="1"/>
  <c r="N622" i="1"/>
  <c r="T621" i="1"/>
  <c r="S621" i="1"/>
  <c r="R621" i="1"/>
  <c r="Q621" i="1"/>
  <c r="P621" i="1"/>
  <c r="O621" i="1"/>
  <c r="N621" i="1"/>
  <c r="T620" i="1"/>
  <c r="S620" i="1"/>
  <c r="R620" i="1"/>
  <c r="Q620" i="1"/>
  <c r="P620" i="1"/>
  <c r="O620" i="1"/>
  <c r="N620" i="1"/>
  <c r="T619" i="1"/>
  <c r="S619" i="1"/>
  <c r="R619" i="1"/>
  <c r="Q619" i="1"/>
  <c r="P619" i="1"/>
  <c r="O619" i="1"/>
  <c r="N619" i="1"/>
  <c r="T618" i="1"/>
  <c r="S618" i="1"/>
  <c r="R618" i="1"/>
  <c r="Q618" i="1"/>
  <c r="P618" i="1"/>
  <c r="O618" i="1"/>
  <c r="N618" i="1"/>
  <c r="T617" i="1"/>
  <c r="S617" i="1"/>
  <c r="R617" i="1"/>
  <c r="Q617" i="1"/>
  <c r="P617" i="1"/>
  <c r="O617" i="1"/>
  <c r="N617" i="1"/>
  <c r="T616" i="1"/>
  <c r="S616" i="1"/>
  <c r="R616" i="1"/>
  <c r="Q616" i="1"/>
  <c r="P616" i="1"/>
  <c r="O616" i="1"/>
  <c r="N616" i="1"/>
  <c r="T615" i="1"/>
  <c r="S615" i="1"/>
  <c r="R615" i="1"/>
  <c r="Q615" i="1"/>
  <c r="P615" i="1"/>
  <c r="O615" i="1"/>
  <c r="N615" i="1"/>
  <c r="T614" i="1"/>
  <c r="S614" i="1"/>
  <c r="R614" i="1"/>
  <c r="Q614" i="1"/>
  <c r="P614" i="1"/>
  <c r="O614" i="1"/>
  <c r="N614" i="1"/>
  <c r="T613" i="1"/>
  <c r="S613" i="1"/>
  <c r="R613" i="1"/>
  <c r="Q613" i="1"/>
  <c r="P613" i="1"/>
  <c r="O613" i="1"/>
  <c r="N613" i="1"/>
  <c r="T612" i="1"/>
  <c r="S612" i="1"/>
  <c r="R612" i="1"/>
  <c r="Q612" i="1"/>
  <c r="P612" i="1"/>
  <c r="O612" i="1"/>
  <c r="N612" i="1"/>
  <c r="T611" i="1"/>
  <c r="S611" i="1"/>
  <c r="R611" i="1"/>
  <c r="Q611" i="1"/>
  <c r="P611" i="1"/>
  <c r="O611" i="1"/>
  <c r="N611" i="1"/>
  <c r="T610" i="1"/>
  <c r="S610" i="1"/>
  <c r="R610" i="1"/>
  <c r="Q610" i="1"/>
  <c r="P610" i="1"/>
  <c r="O610" i="1"/>
  <c r="N610" i="1"/>
  <c r="T609" i="1"/>
  <c r="S609" i="1"/>
  <c r="R609" i="1"/>
  <c r="Q609" i="1"/>
  <c r="P609" i="1"/>
  <c r="O609" i="1"/>
  <c r="N609" i="1"/>
  <c r="T608" i="1"/>
  <c r="S608" i="1"/>
  <c r="R608" i="1"/>
  <c r="Q608" i="1"/>
  <c r="P608" i="1"/>
  <c r="O608" i="1"/>
  <c r="N608" i="1"/>
  <c r="T607" i="1"/>
  <c r="S607" i="1"/>
  <c r="R607" i="1"/>
  <c r="Q607" i="1"/>
  <c r="P607" i="1"/>
  <c r="O607" i="1"/>
  <c r="N607" i="1"/>
  <c r="T606" i="1"/>
  <c r="S606" i="1"/>
  <c r="R606" i="1"/>
  <c r="Q606" i="1"/>
  <c r="P606" i="1"/>
  <c r="O606" i="1"/>
  <c r="N606" i="1"/>
  <c r="T605" i="1"/>
  <c r="S605" i="1"/>
  <c r="R605" i="1"/>
  <c r="Q605" i="1"/>
  <c r="P605" i="1"/>
  <c r="O605" i="1"/>
  <c r="N605" i="1"/>
  <c r="T604" i="1"/>
  <c r="S604" i="1"/>
  <c r="R604" i="1"/>
  <c r="Q604" i="1"/>
  <c r="P604" i="1"/>
  <c r="O604" i="1"/>
  <c r="N604" i="1"/>
  <c r="T603" i="1"/>
  <c r="S603" i="1"/>
  <c r="R603" i="1"/>
  <c r="Q603" i="1"/>
  <c r="P603" i="1"/>
  <c r="O603" i="1"/>
  <c r="N603" i="1"/>
  <c r="T602" i="1"/>
  <c r="S602" i="1"/>
  <c r="R602" i="1"/>
  <c r="Q602" i="1"/>
  <c r="P602" i="1"/>
  <c r="O602" i="1"/>
  <c r="N602" i="1"/>
  <c r="T601" i="1"/>
  <c r="S601" i="1"/>
  <c r="R601" i="1"/>
  <c r="Q601" i="1"/>
  <c r="P601" i="1"/>
  <c r="O601" i="1"/>
  <c r="N601" i="1"/>
  <c r="T600" i="1"/>
  <c r="S600" i="1"/>
  <c r="R600" i="1"/>
  <c r="Q600" i="1"/>
  <c r="P600" i="1"/>
  <c r="O600" i="1"/>
  <c r="N600" i="1"/>
  <c r="T599" i="1"/>
  <c r="S599" i="1"/>
  <c r="R599" i="1"/>
  <c r="Q599" i="1"/>
  <c r="P599" i="1"/>
  <c r="O599" i="1"/>
  <c r="N599" i="1"/>
  <c r="T598" i="1"/>
  <c r="S598" i="1"/>
  <c r="R598" i="1"/>
  <c r="Q598" i="1"/>
  <c r="P598" i="1"/>
  <c r="O598" i="1"/>
  <c r="N598" i="1"/>
  <c r="T597" i="1"/>
  <c r="S597" i="1"/>
  <c r="R597" i="1"/>
  <c r="Q597" i="1"/>
  <c r="P597" i="1"/>
  <c r="O597" i="1"/>
  <c r="N597" i="1"/>
  <c r="T596" i="1"/>
  <c r="S596" i="1"/>
  <c r="R596" i="1"/>
  <c r="Q596" i="1"/>
  <c r="P596" i="1"/>
  <c r="O596" i="1"/>
  <c r="N596" i="1"/>
  <c r="T595" i="1"/>
  <c r="S595" i="1"/>
  <c r="R595" i="1"/>
  <c r="Q595" i="1"/>
  <c r="P595" i="1"/>
  <c r="O595" i="1"/>
  <c r="N595" i="1"/>
  <c r="T594" i="1"/>
  <c r="S594" i="1"/>
  <c r="R594" i="1"/>
  <c r="Q594" i="1"/>
  <c r="P594" i="1"/>
  <c r="O594" i="1"/>
  <c r="N594" i="1"/>
  <c r="T593" i="1"/>
  <c r="S593" i="1"/>
  <c r="R593" i="1"/>
  <c r="Q593" i="1"/>
  <c r="P593" i="1"/>
  <c r="O593" i="1"/>
  <c r="N593" i="1"/>
  <c r="T592" i="1"/>
  <c r="S592" i="1"/>
  <c r="R592" i="1"/>
  <c r="Q592" i="1"/>
  <c r="P592" i="1"/>
  <c r="O592" i="1"/>
  <c r="N592" i="1"/>
  <c r="T591" i="1"/>
  <c r="S591" i="1"/>
  <c r="R591" i="1"/>
  <c r="Q591" i="1"/>
  <c r="P591" i="1"/>
  <c r="O591" i="1"/>
  <c r="N591" i="1"/>
  <c r="T590" i="1"/>
  <c r="S590" i="1"/>
  <c r="R590" i="1"/>
  <c r="Q590" i="1"/>
  <c r="P590" i="1"/>
  <c r="O590" i="1"/>
  <c r="N590" i="1"/>
  <c r="T589" i="1"/>
  <c r="S589" i="1"/>
  <c r="R589" i="1"/>
  <c r="Q589" i="1"/>
  <c r="P589" i="1"/>
  <c r="O589" i="1"/>
  <c r="N589" i="1"/>
  <c r="T588" i="1"/>
  <c r="S588" i="1"/>
  <c r="R588" i="1"/>
  <c r="Q588" i="1"/>
  <c r="P588" i="1"/>
  <c r="O588" i="1"/>
  <c r="N588" i="1"/>
  <c r="T587" i="1"/>
  <c r="S587" i="1"/>
  <c r="R587" i="1"/>
  <c r="Q587" i="1"/>
  <c r="P587" i="1"/>
  <c r="O587" i="1"/>
  <c r="N587" i="1"/>
  <c r="T586" i="1"/>
  <c r="S586" i="1"/>
  <c r="R586" i="1"/>
  <c r="Q586" i="1"/>
  <c r="P586" i="1"/>
  <c r="O586" i="1"/>
  <c r="N586" i="1"/>
  <c r="T585" i="1"/>
  <c r="S585" i="1"/>
  <c r="R585" i="1"/>
  <c r="Q585" i="1"/>
  <c r="P585" i="1"/>
  <c r="O585" i="1"/>
  <c r="N585" i="1"/>
  <c r="T584" i="1"/>
  <c r="S584" i="1"/>
  <c r="R584" i="1"/>
  <c r="Q584" i="1"/>
  <c r="P584" i="1"/>
  <c r="O584" i="1"/>
  <c r="N584" i="1"/>
  <c r="T583" i="1"/>
  <c r="S583" i="1"/>
  <c r="R583" i="1"/>
  <c r="Q583" i="1"/>
  <c r="P583" i="1"/>
  <c r="O583" i="1"/>
  <c r="N583" i="1"/>
  <c r="T582" i="1"/>
  <c r="S582" i="1"/>
  <c r="R582" i="1"/>
  <c r="Q582" i="1"/>
  <c r="P582" i="1"/>
  <c r="O582" i="1"/>
  <c r="N582" i="1"/>
  <c r="T581" i="1"/>
  <c r="S581" i="1"/>
  <c r="R581" i="1"/>
  <c r="Q581" i="1"/>
  <c r="P581" i="1"/>
  <c r="O581" i="1"/>
  <c r="N581" i="1"/>
  <c r="T580" i="1"/>
  <c r="S580" i="1"/>
  <c r="R580" i="1"/>
  <c r="Q580" i="1"/>
  <c r="P580" i="1"/>
  <c r="O580" i="1"/>
  <c r="N580" i="1"/>
  <c r="T579" i="1"/>
  <c r="S579" i="1"/>
  <c r="R579" i="1"/>
  <c r="Q579" i="1"/>
  <c r="P579" i="1"/>
  <c r="O579" i="1"/>
  <c r="N579" i="1"/>
  <c r="T578" i="1"/>
  <c r="S578" i="1"/>
  <c r="R578" i="1"/>
  <c r="Q578" i="1"/>
  <c r="P578" i="1"/>
  <c r="O578" i="1"/>
  <c r="N578" i="1"/>
  <c r="T577" i="1"/>
  <c r="S577" i="1"/>
  <c r="R577" i="1"/>
  <c r="Q577" i="1"/>
  <c r="P577" i="1"/>
  <c r="O577" i="1"/>
  <c r="N577" i="1"/>
  <c r="T576" i="1"/>
  <c r="S576" i="1"/>
  <c r="R576" i="1"/>
  <c r="Q576" i="1"/>
  <c r="P576" i="1"/>
  <c r="O576" i="1"/>
  <c r="N576" i="1"/>
  <c r="T575" i="1"/>
  <c r="S575" i="1"/>
  <c r="R575" i="1"/>
  <c r="Q575" i="1"/>
  <c r="P575" i="1"/>
  <c r="O575" i="1"/>
  <c r="N575" i="1"/>
  <c r="T574" i="1"/>
  <c r="S574" i="1"/>
  <c r="R574" i="1"/>
  <c r="Q574" i="1"/>
  <c r="P574" i="1"/>
  <c r="O574" i="1"/>
  <c r="N574" i="1"/>
  <c r="T573" i="1"/>
  <c r="S573" i="1"/>
  <c r="R573" i="1"/>
  <c r="Q573" i="1"/>
  <c r="P573" i="1"/>
  <c r="O573" i="1"/>
  <c r="N573" i="1"/>
  <c r="T572" i="1"/>
  <c r="S572" i="1"/>
  <c r="R572" i="1"/>
  <c r="Q572" i="1"/>
  <c r="P572" i="1"/>
  <c r="O572" i="1"/>
  <c r="N572" i="1"/>
  <c r="T571" i="1"/>
  <c r="S571" i="1"/>
  <c r="R571" i="1"/>
  <c r="Q571" i="1"/>
  <c r="P571" i="1"/>
  <c r="O571" i="1"/>
  <c r="N571" i="1"/>
  <c r="T570" i="1"/>
  <c r="S570" i="1"/>
  <c r="R570" i="1"/>
  <c r="Q570" i="1"/>
  <c r="P570" i="1"/>
  <c r="O570" i="1"/>
  <c r="N570" i="1"/>
  <c r="T569" i="1"/>
  <c r="S569" i="1"/>
  <c r="R569" i="1"/>
  <c r="Q569" i="1"/>
  <c r="P569" i="1"/>
  <c r="O569" i="1"/>
  <c r="N569" i="1"/>
  <c r="T568" i="1"/>
  <c r="S568" i="1"/>
  <c r="R568" i="1"/>
  <c r="Q568" i="1"/>
  <c r="P568" i="1"/>
  <c r="O568" i="1"/>
  <c r="N568" i="1"/>
  <c r="T567" i="1"/>
  <c r="S567" i="1"/>
  <c r="R567" i="1"/>
  <c r="Q567" i="1"/>
  <c r="P567" i="1"/>
  <c r="O567" i="1"/>
  <c r="N567" i="1"/>
  <c r="T566" i="1"/>
  <c r="S566" i="1"/>
  <c r="R566" i="1"/>
  <c r="Q566" i="1"/>
  <c r="P566" i="1"/>
  <c r="O566" i="1"/>
  <c r="N566" i="1"/>
  <c r="T565" i="1"/>
  <c r="S565" i="1"/>
  <c r="R565" i="1"/>
  <c r="Q565" i="1"/>
  <c r="P565" i="1"/>
  <c r="O565" i="1"/>
  <c r="N565" i="1"/>
  <c r="T564" i="1"/>
  <c r="S564" i="1"/>
  <c r="R564" i="1"/>
  <c r="Q564" i="1"/>
  <c r="P564" i="1"/>
  <c r="O564" i="1"/>
  <c r="N564" i="1"/>
  <c r="T563" i="1"/>
  <c r="S563" i="1"/>
  <c r="R563" i="1"/>
  <c r="Q563" i="1"/>
  <c r="P563" i="1"/>
  <c r="O563" i="1"/>
  <c r="N563" i="1"/>
  <c r="T562" i="1"/>
  <c r="S562" i="1"/>
  <c r="R562" i="1"/>
  <c r="Q562" i="1"/>
  <c r="P562" i="1"/>
  <c r="O562" i="1"/>
  <c r="N562" i="1"/>
  <c r="T561" i="1"/>
  <c r="S561" i="1"/>
  <c r="R561" i="1"/>
  <c r="Q561" i="1"/>
  <c r="P561" i="1"/>
  <c r="O561" i="1"/>
  <c r="N561" i="1"/>
  <c r="T560" i="1"/>
  <c r="S560" i="1"/>
  <c r="R560" i="1"/>
  <c r="Q560" i="1"/>
  <c r="P560" i="1"/>
  <c r="O560" i="1"/>
  <c r="N560" i="1"/>
  <c r="T559" i="1"/>
  <c r="S559" i="1"/>
  <c r="R559" i="1"/>
  <c r="Q559" i="1"/>
  <c r="P559" i="1"/>
  <c r="O559" i="1"/>
  <c r="N559" i="1"/>
  <c r="T558" i="1"/>
  <c r="S558" i="1"/>
  <c r="R558" i="1"/>
  <c r="Q558" i="1"/>
  <c r="P558" i="1"/>
  <c r="O558" i="1"/>
  <c r="N558" i="1"/>
  <c r="T557" i="1"/>
  <c r="S557" i="1"/>
  <c r="R557" i="1"/>
  <c r="Q557" i="1"/>
  <c r="P557" i="1"/>
  <c r="O557" i="1"/>
  <c r="N557" i="1"/>
  <c r="T556" i="1"/>
  <c r="S556" i="1"/>
  <c r="R556" i="1"/>
  <c r="Q556" i="1"/>
  <c r="P556" i="1"/>
  <c r="O556" i="1"/>
  <c r="N556" i="1"/>
  <c r="T555" i="1"/>
  <c r="S555" i="1"/>
  <c r="R555" i="1"/>
  <c r="Q555" i="1"/>
  <c r="P555" i="1"/>
  <c r="O555" i="1"/>
  <c r="N555" i="1"/>
  <c r="T554" i="1"/>
  <c r="S554" i="1"/>
  <c r="R554" i="1"/>
  <c r="Q554" i="1"/>
  <c r="P554" i="1"/>
  <c r="O554" i="1"/>
  <c r="N554" i="1"/>
  <c r="T553" i="1"/>
  <c r="S553" i="1"/>
  <c r="R553" i="1"/>
  <c r="Q553" i="1"/>
  <c r="P553" i="1"/>
  <c r="O553" i="1"/>
  <c r="N553" i="1"/>
  <c r="T552" i="1"/>
  <c r="S552" i="1"/>
  <c r="R552" i="1"/>
  <c r="Q552" i="1"/>
  <c r="P552" i="1"/>
  <c r="O552" i="1"/>
  <c r="N552" i="1"/>
  <c r="T551" i="1"/>
  <c r="S551" i="1"/>
  <c r="R551" i="1"/>
  <c r="Q551" i="1"/>
  <c r="P551" i="1"/>
  <c r="O551" i="1"/>
  <c r="N551" i="1"/>
  <c r="T550" i="1"/>
  <c r="S550" i="1"/>
  <c r="R550" i="1"/>
  <c r="Q550" i="1"/>
  <c r="P550" i="1"/>
  <c r="O550" i="1"/>
  <c r="N550" i="1"/>
  <c r="T549" i="1"/>
  <c r="S549" i="1"/>
  <c r="R549" i="1"/>
  <c r="Q549" i="1"/>
  <c r="P549" i="1"/>
  <c r="O549" i="1"/>
  <c r="N549" i="1"/>
  <c r="T548" i="1"/>
  <c r="S548" i="1"/>
  <c r="R548" i="1"/>
  <c r="Q548" i="1"/>
  <c r="P548" i="1"/>
  <c r="O548" i="1"/>
  <c r="N548" i="1"/>
  <c r="T547" i="1"/>
  <c r="S547" i="1"/>
  <c r="R547" i="1"/>
  <c r="Q547" i="1"/>
  <c r="P547" i="1"/>
  <c r="O547" i="1"/>
  <c r="N547" i="1"/>
  <c r="T546" i="1"/>
  <c r="S546" i="1"/>
  <c r="R546" i="1"/>
  <c r="Q546" i="1"/>
  <c r="P546" i="1"/>
  <c r="O546" i="1"/>
  <c r="N546" i="1"/>
  <c r="T545" i="1"/>
  <c r="S545" i="1"/>
  <c r="R545" i="1"/>
  <c r="Q545" i="1"/>
  <c r="P545" i="1"/>
  <c r="O545" i="1"/>
  <c r="N545" i="1"/>
  <c r="T544" i="1"/>
  <c r="S544" i="1"/>
  <c r="R544" i="1"/>
  <c r="Q544" i="1"/>
  <c r="P544" i="1"/>
  <c r="O544" i="1"/>
  <c r="N544" i="1"/>
  <c r="T543" i="1"/>
  <c r="S543" i="1"/>
  <c r="R543" i="1"/>
  <c r="Q543" i="1"/>
  <c r="P543" i="1"/>
  <c r="O543" i="1"/>
  <c r="N543" i="1"/>
  <c r="T542" i="1"/>
  <c r="S542" i="1"/>
  <c r="R542" i="1"/>
  <c r="Q542" i="1"/>
  <c r="P542" i="1"/>
  <c r="O542" i="1"/>
  <c r="N542" i="1"/>
  <c r="T541" i="1"/>
  <c r="S541" i="1"/>
  <c r="R541" i="1"/>
  <c r="Q541" i="1"/>
  <c r="P541" i="1"/>
  <c r="O541" i="1"/>
  <c r="N541" i="1"/>
  <c r="T540" i="1"/>
  <c r="S540" i="1"/>
  <c r="R540" i="1"/>
  <c r="Q540" i="1"/>
  <c r="P540" i="1"/>
  <c r="O540" i="1"/>
  <c r="N540" i="1"/>
  <c r="T539" i="1"/>
  <c r="S539" i="1"/>
  <c r="R539" i="1"/>
  <c r="Q539" i="1"/>
  <c r="P539" i="1"/>
  <c r="O539" i="1"/>
  <c r="N539" i="1"/>
  <c r="T538" i="1"/>
  <c r="S538" i="1"/>
  <c r="R538" i="1"/>
  <c r="Q538" i="1"/>
  <c r="P538" i="1"/>
  <c r="O538" i="1"/>
  <c r="N538" i="1"/>
  <c r="T537" i="1"/>
  <c r="S537" i="1"/>
  <c r="R537" i="1"/>
  <c r="Q537" i="1"/>
  <c r="P537" i="1"/>
  <c r="O537" i="1"/>
  <c r="N537" i="1"/>
  <c r="T536" i="1"/>
  <c r="S536" i="1"/>
  <c r="R536" i="1"/>
  <c r="Q536" i="1"/>
  <c r="P536" i="1"/>
  <c r="O536" i="1"/>
  <c r="N536" i="1"/>
  <c r="T535" i="1"/>
  <c r="S535" i="1"/>
  <c r="R535" i="1"/>
  <c r="Q535" i="1"/>
  <c r="P535" i="1"/>
  <c r="O535" i="1"/>
  <c r="N535" i="1"/>
  <c r="T534" i="1"/>
  <c r="S534" i="1"/>
  <c r="R534" i="1"/>
  <c r="Q534" i="1"/>
  <c r="P534" i="1"/>
  <c r="O534" i="1"/>
  <c r="N534" i="1"/>
  <c r="T533" i="1"/>
  <c r="S533" i="1"/>
  <c r="R533" i="1"/>
  <c r="Q533" i="1"/>
  <c r="P533" i="1"/>
  <c r="O533" i="1"/>
  <c r="N533" i="1"/>
  <c r="T532" i="1"/>
  <c r="S532" i="1"/>
  <c r="R532" i="1"/>
  <c r="Q532" i="1"/>
  <c r="P532" i="1"/>
  <c r="O532" i="1"/>
  <c r="N532" i="1"/>
  <c r="T531" i="1"/>
  <c r="S531" i="1"/>
  <c r="R531" i="1"/>
  <c r="Q531" i="1"/>
  <c r="P531" i="1"/>
  <c r="O531" i="1"/>
  <c r="N531" i="1"/>
  <c r="T530" i="1"/>
  <c r="S530" i="1"/>
  <c r="R530" i="1"/>
  <c r="Q530" i="1"/>
  <c r="P530" i="1"/>
  <c r="O530" i="1"/>
  <c r="N530" i="1"/>
  <c r="T529" i="1"/>
  <c r="S529" i="1"/>
  <c r="R529" i="1"/>
  <c r="Q529" i="1"/>
  <c r="P529" i="1"/>
  <c r="O529" i="1"/>
  <c r="N529" i="1"/>
  <c r="T528" i="1"/>
  <c r="S528" i="1"/>
  <c r="R528" i="1"/>
  <c r="Q528" i="1"/>
  <c r="P528" i="1"/>
  <c r="O528" i="1"/>
  <c r="N528" i="1"/>
  <c r="T527" i="1"/>
  <c r="S527" i="1"/>
  <c r="R527" i="1"/>
  <c r="Q527" i="1"/>
  <c r="P527" i="1"/>
  <c r="O527" i="1"/>
  <c r="N527" i="1"/>
  <c r="T526" i="1"/>
  <c r="S526" i="1"/>
  <c r="R526" i="1"/>
  <c r="Q526" i="1"/>
  <c r="P526" i="1"/>
  <c r="O526" i="1"/>
  <c r="N526" i="1"/>
  <c r="T525" i="1"/>
  <c r="S525" i="1"/>
  <c r="R525" i="1"/>
  <c r="Q525" i="1"/>
  <c r="P525" i="1"/>
  <c r="O525" i="1"/>
  <c r="N525" i="1"/>
  <c r="T524" i="1"/>
  <c r="S524" i="1"/>
  <c r="R524" i="1"/>
  <c r="Q524" i="1"/>
  <c r="P524" i="1"/>
  <c r="O524" i="1"/>
  <c r="N524" i="1"/>
  <c r="T523" i="1"/>
  <c r="S523" i="1"/>
  <c r="R523" i="1"/>
  <c r="Q523" i="1"/>
  <c r="P523" i="1"/>
  <c r="O523" i="1"/>
  <c r="N523" i="1"/>
  <c r="T522" i="1"/>
  <c r="S522" i="1"/>
  <c r="R522" i="1"/>
  <c r="Q522" i="1"/>
  <c r="P522" i="1"/>
  <c r="O522" i="1"/>
  <c r="N522" i="1"/>
  <c r="T521" i="1"/>
  <c r="S521" i="1"/>
  <c r="R521" i="1"/>
  <c r="Q521" i="1"/>
  <c r="P521" i="1"/>
  <c r="O521" i="1"/>
  <c r="N521" i="1"/>
  <c r="T520" i="1"/>
  <c r="S520" i="1"/>
  <c r="R520" i="1"/>
  <c r="Q520" i="1"/>
  <c r="P520" i="1"/>
  <c r="O520" i="1"/>
  <c r="N520" i="1"/>
  <c r="T519" i="1"/>
  <c r="S519" i="1"/>
  <c r="R519" i="1"/>
  <c r="Q519" i="1"/>
  <c r="P519" i="1"/>
  <c r="O519" i="1"/>
  <c r="N519" i="1"/>
  <c r="T518" i="1"/>
  <c r="S518" i="1"/>
  <c r="R518" i="1"/>
  <c r="Q518" i="1"/>
  <c r="P518" i="1"/>
  <c r="O518" i="1"/>
  <c r="N518" i="1"/>
  <c r="T517" i="1"/>
  <c r="S517" i="1"/>
  <c r="R517" i="1"/>
  <c r="Q517" i="1"/>
  <c r="P517" i="1"/>
  <c r="O517" i="1"/>
  <c r="N517" i="1"/>
  <c r="T516" i="1"/>
  <c r="S516" i="1"/>
  <c r="R516" i="1"/>
  <c r="Q516" i="1"/>
  <c r="P516" i="1"/>
  <c r="O516" i="1"/>
  <c r="N516" i="1"/>
  <c r="T515" i="1"/>
  <c r="S515" i="1"/>
  <c r="R515" i="1"/>
  <c r="Q515" i="1"/>
  <c r="P515" i="1"/>
  <c r="O515" i="1"/>
  <c r="N515" i="1"/>
  <c r="T514" i="1"/>
  <c r="S514" i="1"/>
  <c r="R514" i="1"/>
  <c r="Q514" i="1"/>
  <c r="P514" i="1"/>
  <c r="O514" i="1"/>
  <c r="N514" i="1"/>
  <c r="T513" i="1"/>
  <c r="S513" i="1"/>
  <c r="R513" i="1"/>
  <c r="Q513" i="1"/>
  <c r="P513" i="1"/>
  <c r="O513" i="1"/>
  <c r="N513" i="1"/>
  <c r="T512" i="1"/>
  <c r="S512" i="1"/>
  <c r="R512" i="1"/>
  <c r="Q512" i="1"/>
  <c r="P512" i="1"/>
  <c r="O512" i="1"/>
  <c r="N512" i="1"/>
  <c r="T511" i="1"/>
  <c r="S511" i="1"/>
  <c r="R511" i="1"/>
  <c r="Q511" i="1"/>
  <c r="P511" i="1"/>
  <c r="O511" i="1"/>
  <c r="N511" i="1"/>
  <c r="T510" i="1"/>
  <c r="S510" i="1"/>
  <c r="R510" i="1"/>
  <c r="Q510" i="1"/>
  <c r="P510" i="1"/>
  <c r="O510" i="1"/>
  <c r="N510" i="1"/>
  <c r="T509" i="1"/>
  <c r="S509" i="1"/>
  <c r="R509" i="1"/>
  <c r="Q509" i="1"/>
  <c r="P509" i="1"/>
  <c r="O509" i="1"/>
  <c r="N509" i="1"/>
  <c r="T508" i="1"/>
  <c r="S508" i="1"/>
  <c r="R508" i="1"/>
  <c r="Q508" i="1"/>
  <c r="P508" i="1"/>
  <c r="O508" i="1"/>
  <c r="N508" i="1"/>
  <c r="T507" i="1"/>
  <c r="S507" i="1"/>
  <c r="R507" i="1"/>
  <c r="Q507" i="1"/>
  <c r="P507" i="1"/>
  <c r="O507" i="1"/>
  <c r="N507" i="1"/>
  <c r="T506" i="1"/>
  <c r="S506" i="1"/>
  <c r="R506" i="1"/>
  <c r="Q506" i="1"/>
  <c r="P506" i="1"/>
  <c r="O506" i="1"/>
  <c r="N506" i="1"/>
  <c r="T505" i="1"/>
  <c r="S505" i="1"/>
  <c r="R505" i="1"/>
  <c r="Q505" i="1"/>
  <c r="P505" i="1"/>
  <c r="O505" i="1"/>
  <c r="N505" i="1"/>
  <c r="T504" i="1"/>
  <c r="S504" i="1"/>
  <c r="R504" i="1"/>
  <c r="Q504" i="1"/>
  <c r="P504" i="1"/>
  <c r="O504" i="1"/>
  <c r="N504" i="1"/>
  <c r="T503" i="1"/>
  <c r="S503" i="1"/>
  <c r="R503" i="1"/>
  <c r="Q503" i="1"/>
  <c r="P503" i="1"/>
  <c r="O503" i="1"/>
  <c r="N503" i="1"/>
  <c r="T502" i="1"/>
  <c r="S502" i="1"/>
  <c r="R502" i="1"/>
  <c r="Q502" i="1"/>
  <c r="P502" i="1"/>
  <c r="O502" i="1"/>
  <c r="N502" i="1"/>
  <c r="T501" i="1"/>
  <c r="S501" i="1"/>
  <c r="R501" i="1"/>
  <c r="Q501" i="1"/>
  <c r="P501" i="1"/>
  <c r="O501" i="1"/>
  <c r="N501" i="1"/>
  <c r="T500" i="1"/>
  <c r="S500" i="1"/>
  <c r="R500" i="1"/>
  <c r="Q500" i="1"/>
  <c r="P500" i="1"/>
  <c r="O500" i="1"/>
  <c r="N500" i="1"/>
  <c r="T499" i="1"/>
  <c r="S499" i="1"/>
  <c r="R499" i="1"/>
  <c r="Q499" i="1"/>
  <c r="P499" i="1"/>
  <c r="O499" i="1"/>
  <c r="N499" i="1"/>
  <c r="T498" i="1"/>
  <c r="S498" i="1"/>
  <c r="R498" i="1"/>
  <c r="Q498" i="1"/>
  <c r="P498" i="1"/>
  <c r="O498" i="1"/>
  <c r="N498" i="1"/>
  <c r="T497" i="1"/>
  <c r="S497" i="1"/>
  <c r="R497" i="1"/>
  <c r="Q497" i="1"/>
  <c r="P497" i="1"/>
  <c r="O497" i="1"/>
  <c r="N497" i="1"/>
  <c r="T496" i="1"/>
  <c r="S496" i="1"/>
  <c r="R496" i="1"/>
  <c r="Q496" i="1"/>
  <c r="P496" i="1"/>
  <c r="O496" i="1"/>
  <c r="N496" i="1"/>
  <c r="T495" i="1"/>
  <c r="S495" i="1"/>
  <c r="R495" i="1"/>
  <c r="Q495" i="1"/>
  <c r="P495" i="1"/>
  <c r="O495" i="1"/>
  <c r="N495" i="1"/>
  <c r="T494" i="1"/>
  <c r="S494" i="1"/>
  <c r="R494" i="1"/>
  <c r="Q494" i="1"/>
  <c r="P494" i="1"/>
  <c r="O494" i="1"/>
  <c r="N494" i="1"/>
  <c r="T493" i="1"/>
  <c r="S493" i="1"/>
  <c r="R493" i="1"/>
  <c r="Q493" i="1"/>
  <c r="P493" i="1"/>
  <c r="O493" i="1"/>
  <c r="N493" i="1"/>
  <c r="T492" i="1"/>
  <c r="S492" i="1"/>
  <c r="R492" i="1"/>
  <c r="Q492" i="1"/>
  <c r="P492" i="1"/>
  <c r="O492" i="1"/>
  <c r="N492" i="1"/>
  <c r="T491" i="1"/>
  <c r="S491" i="1"/>
  <c r="R491" i="1"/>
  <c r="Q491" i="1"/>
  <c r="P491" i="1"/>
  <c r="O491" i="1"/>
  <c r="N491" i="1"/>
  <c r="T490" i="1"/>
  <c r="S490" i="1"/>
  <c r="R490" i="1"/>
  <c r="Q490" i="1"/>
  <c r="P490" i="1"/>
  <c r="O490" i="1"/>
  <c r="N490" i="1"/>
  <c r="T489" i="1"/>
  <c r="S489" i="1"/>
  <c r="R489" i="1"/>
  <c r="Q489" i="1"/>
  <c r="P489" i="1"/>
  <c r="O489" i="1"/>
  <c r="N489" i="1"/>
  <c r="T488" i="1"/>
  <c r="S488" i="1"/>
  <c r="R488" i="1"/>
  <c r="Q488" i="1"/>
  <c r="P488" i="1"/>
  <c r="O488" i="1"/>
  <c r="N488" i="1"/>
  <c r="T487" i="1"/>
  <c r="S487" i="1"/>
  <c r="R487" i="1"/>
  <c r="Q487" i="1"/>
  <c r="P487" i="1"/>
  <c r="O487" i="1"/>
  <c r="N487" i="1"/>
  <c r="T486" i="1"/>
  <c r="S486" i="1"/>
  <c r="R486" i="1"/>
  <c r="Q486" i="1"/>
  <c r="P486" i="1"/>
  <c r="O486" i="1"/>
  <c r="N486" i="1"/>
  <c r="T485" i="1"/>
  <c r="S485" i="1"/>
  <c r="R485" i="1"/>
  <c r="Q485" i="1"/>
  <c r="P485" i="1"/>
  <c r="O485" i="1"/>
  <c r="N485" i="1"/>
  <c r="T484" i="1"/>
  <c r="S484" i="1"/>
  <c r="R484" i="1"/>
  <c r="Q484" i="1"/>
  <c r="P484" i="1"/>
  <c r="O484" i="1"/>
  <c r="N484" i="1"/>
  <c r="T483" i="1"/>
  <c r="S483" i="1"/>
  <c r="R483" i="1"/>
  <c r="Q483" i="1"/>
  <c r="P483" i="1"/>
  <c r="O483" i="1"/>
  <c r="N483" i="1"/>
  <c r="T482" i="1"/>
  <c r="S482" i="1"/>
  <c r="R482" i="1"/>
  <c r="Q482" i="1"/>
  <c r="P482" i="1"/>
  <c r="O482" i="1"/>
  <c r="N482" i="1"/>
  <c r="T481" i="1"/>
  <c r="S481" i="1"/>
  <c r="R481" i="1"/>
  <c r="Q481" i="1"/>
  <c r="P481" i="1"/>
  <c r="O481" i="1"/>
  <c r="N481" i="1"/>
  <c r="T480" i="1"/>
  <c r="S480" i="1"/>
  <c r="R480" i="1"/>
  <c r="Q480" i="1"/>
  <c r="P480" i="1"/>
  <c r="O480" i="1"/>
  <c r="N480" i="1"/>
  <c r="T479" i="1"/>
  <c r="S479" i="1"/>
  <c r="R479" i="1"/>
  <c r="Q479" i="1"/>
  <c r="P479" i="1"/>
  <c r="O479" i="1"/>
  <c r="N479" i="1"/>
  <c r="T478" i="1"/>
  <c r="S478" i="1"/>
  <c r="R478" i="1"/>
  <c r="Q478" i="1"/>
  <c r="P478" i="1"/>
  <c r="O478" i="1"/>
  <c r="N478" i="1"/>
  <c r="T477" i="1"/>
  <c r="S477" i="1"/>
  <c r="R477" i="1"/>
  <c r="Q477" i="1"/>
  <c r="P477" i="1"/>
  <c r="O477" i="1"/>
  <c r="N477" i="1"/>
  <c r="T476" i="1"/>
  <c r="S476" i="1"/>
  <c r="R476" i="1"/>
  <c r="Q476" i="1"/>
  <c r="P476" i="1"/>
  <c r="O476" i="1"/>
  <c r="N476" i="1"/>
  <c r="T475" i="1"/>
  <c r="S475" i="1"/>
  <c r="R475" i="1"/>
  <c r="Q475" i="1"/>
  <c r="P475" i="1"/>
  <c r="O475" i="1"/>
  <c r="N475" i="1"/>
  <c r="T474" i="1"/>
  <c r="S474" i="1"/>
  <c r="R474" i="1"/>
  <c r="Q474" i="1"/>
  <c r="P474" i="1"/>
  <c r="O474" i="1"/>
  <c r="N474" i="1"/>
  <c r="T473" i="1"/>
  <c r="S473" i="1"/>
  <c r="R473" i="1"/>
  <c r="Q473" i="1"/>
  <c r="P473" i="1"/>
  <c r="O473" i="1"/>
  <c r="N473" i="1"/>
  <c r="T472" i="1"/>
  <c r="S472" i="1"/>
  <c r="R472" i="1"/>
  <c r="Q472" i="1"/>
  <c r="P472" i="1"/>
  <c r="O472" i="1"/>
  <c r="N472" i="1"/>
  <c r="T471" i="1"/>
  <c r="S471" i="1"/>
  <c r="R471" i="1"/>
  <c r="Q471" i="1"/>
  <c r="P471" i="1"/>
  <c r="O471" i="1"/>
  <c r="N471" i="1"/>
  <c r="T470" i="1"/>
  <c r="S470" i="1"/>
  <c r="R470" i="1"/>
  <c r="Q470" i="1"/>
  <c r="P470" i="1"/>
  <c r="O470" i="1"/>
  <c r="N470" i="1"/>
  <c r="T469" i="1"/>
  <c r="S469" i="1"/>
  <c r="R469" i="1"/>
  <c r="Q469" i="1"/>
  <c r="P469" i="1"/>
  <c r="O469" i="1"/>
  <c r="N469" i="1"/>
  <c r="T468" i="1"/>
  <c r="S468" i="1"/>
  <c r="R468" i="1"/>
  <c r="Q468" i="1"/>
  <c r="P468" i="1"/>
  <c r="O468" i="1"/>
  <c r="N468" i="1"/>
  <c r="T467" i="1"/>
  <c r="S467" i="1"/>
  <c r="R467" i="1"/>
  <c r="Q467" i="1"/>
  <c r="P467" i="1"/>
  <c r="O467" i="1"/>
  <c r="N467" i="1"/>
  <c r="T466" i="1"/>
  <c r="S466" i="1"/>
  <c r="R466" i="1"/>
  <c r="Q466" i="1"/>
  <c r="P466" i="1"/>
  <c r="O466" i="1"/>
  <c r="N466" i="1"/>
  <c r="T465" i="1"/>
  <c r="S465" i="1"/>
  <c r="R465" i="1"/>
  <c r="Q465" i="1"/>
  <c r="P465" i="1"/>
  <c r="O465" i="1"/>
  <c r="N465" i="1"/>
  <c r="T464" i="1"/>
  <c r="S464" i="1"/>
  <c r="R464" i="1"/>
  <c r="Q464" i="1"/>
  <c r="P464" i="1"/>
  <c r="O464" i="1"/>
  <c r="N464" i="1"/>
  <c r="T463" i="1"/>
  <c r="S463" i="1"/>
  <c r="R463" i="1"/>
  <c r="Q463" i="1"/>
  <c r="P463" i="1"/>
  <c r="O463" i="1"/>
  <c r="N463" i="1"/>
  <c r="T462" i="1"/>
  <c r="S462" i="1"/>
  <c r="R462" i="1"/>
  <c r="Q462" i="1"/>
  <c r="P462" i="1"/>
  <c r="O462" i="1"/>
  <c r="N462" i="1"/>
  <c r="T461" i="1"/>
  <c r="S461" i="1"/>
  <c r="R461" i="1"/>
  <c r="Q461" i="1"/>
  <c r="P461" i="1"/>
  <c r="O461" i="1"/>
  <c r="N461" i="1"/>
  <c r="T460" i="1"/>
  <c r="S460" i="1"/>
  <c r="R460" i="1"/>
  <c r="Q460" i="1"/>
  <c r="P460" i="1"/>
  <c r="O460" i="1"/>
  <c r="N460" i="1"/>
  <c r="T459" i="1"/>
  <c r="S459" i="1"/>
  <c r="R459" i="1"/>
  <c r="Q459" i="1"/>
  <c r="P459" i="1"/>
  <c r="O459" i="1"/>
  <c r="N459" i="1"/>
  <c r="T458" i="1"/>
  <c r="S458" i="1"/>
  <c r="R458" i="1"/>
  <c r="Q458" i="1"/>
  <c r="P458" i="1"/>
  <c r="O458" i="1"/>
  <c r="N458" i="1"/>
  <c r="T457" i="1"/>
  <c r="S457" i="1"/>
  <c r="R457" i="1"/>
  <c r="Q457" i="1"/>
  <c r="P457" i="1"/>
  <c r="O457" i="1"/>
  <c r="N457" i="1"/>
  <c r="T456" i="1"/>
  <c r="S456" i="1"/>
  <c r="R456" i="1"/>
  <c r="Q456" i="1"/>
  <c r="P456" i="1"/>
  <c r="O456" i="1"/>
  <c r="N456" i="1"/>
  <c r="T455" i="1"/>
  <c r="S455" i="1"/>
  <c r="R455" i="1"/>
  <c r="Q455" i="1"/>
  <c r="P455" i="1"/>
  <c r="O455" i="1"/>
  <c r="N455" i="1"/>
  <c r="T454" i="1"/>
  <c r="S454" i="1"/>
  <c r="R454" i="1"/>
  <c r="Q454" i="1"/>
  <c r="P454" i="1"/>
  <c r="O454" i="1"/>
  <c r="N454" i="1"/>
  <c r="T453" i="1"/>
  <c r="S453" i="1"/>
  <c r="R453" i="1"/>
  <c r="Q453" i="1"/>
  <c r="P453" i="1"/>
  <c r="O453" i="1"/>
  <c r="N453" i="1"/>
  <c r="T452" i="1"/>
  <c r="S452" i="1"/>
  <c r="R452" i="1"/>
  <c r="Q452" i="1"/>
  <c r="P452" i="1"/>
  <c r="O452" i="1"/>
  <c r="N452" i="1"/>
  <c r="T451" i="1"/>
  <c r="S451" i="1"/>
  <c r="R451" i="1"/>
  <c r="Q451" i="1"/>
  <c r="P451" i="1"/>
  <c r="O451" i="1"/>
  <c r="N451" i="1"/>
  <c r="T450" i="1"/>
  <c r="S450" i="1"/>
  <c r="R450" i="1"/>
  <c r="Q450" i="1"/>
  <c r="P450" i="1"/>
  <c r="O450" i="1"/>
  <c r="N450" i="1"/>
  <c r="T449" i="1"/>
  <c r="S449" i="1"/>
  <c r="R449" i="1"/>
  <c r="Q449" i="1"/>
  <c r="P449" i="1"/>
  <c r="O449" i="1"/>
  <c r="N449" i="1"/>
  <c r="T448" i="1"/>
  <c r="S448" i="1"/>
  <c r="R448" i="1"/>
  <c r="Q448" i="1"/>
  <c r="P448" i="1"/>
  <c r="O448" i="1"/>
  <c r="N448" i="1"/>
  <c r="T447" i="1"/>
  <c r="S447" i="1"/>
  <c r="R447" i="1"/>
  <c r="Q447" i="1"/>
  <c r="P447" i="1"/>
  <c r="O447" i="1"/>
  <c r="N447" i="1"/>
  <c r="T446" i="1"/>
  <c r="S446" i="1"/>
  <c r="R446" i="1"/>
  <c r="Q446" i="1"/>
  <c r="P446" i="1"/>
  <c r="O446" i="1"/>
  <c r="N446" i="1"/>
  <c r="T445" i="1"/>
  <c r="S445" i="1"/>
  <c r="R445" i="1"/>
  <c r="Q445" i="1"/>
  <c r="P445" i="1"/>
  <c r="O445" i="1"/>
  <c r="N445" i="1"/>
  <c r="T444" i="1"/>
  <c r="S444" i="1"/>
  <c r="R444" i="1"/>
  <c r="Q444" i="1"/>
  <c r="P444" i="1"/>
  <c r="O444" i="1"/>
  <c r="N444" i="1"/>
  <c r="T443" i="1"/>
  <c r="S443" i="1"/>
  <c r="R443" i="1"/>
  <c r="Q443" i="1"/>
  <c r="P443" i="1"/>
  <c r="O443" i="1"/>
  <c r="N443" i="1"/>
  <c r="T442" i="1"/>
  <c r="S442" i="1"/>
  <c r="R442" i="1"/>
  <c r="Q442" i="1"/>
  <c r="P442" i="1"/>
  <c r="O442" i="1"/>
  <c r="N442" i="1"/>
  <c r="T441" i="1"/>
  <c r="S441" i="1"/>
  <c r="R441" i="1"/>
  <c r="Q441" i="1"/>
  <c r="P441" i="1"/>
  <c r="O441" i="1"/>
  <c r="N441" i="1"/>
  <c r="T440" i="1"/>
  <c r="S440" i="1"/>
  <c r="R440" i="1"/>
  <c r="Q440" i="1"/>
  <c r="P440" i="1"/>
  <c r="O440" i="1"/>
  <c r="N440" i="1"/>
  <c r="T439" i="1"/>
  <c r="S439" i="1"/>
  <c r="R439" i="1"/>
  <c r="Q439" i="1"/>
  <c r="P439" i="1"/>
  <c r="O439" i="1"/>
  <c r="N439" i="1"/>
  <c r="T438" i="1"/>
  <c r="S438" i="1"/>
  <c r="R438" i="1"/>
  <c r="Q438" i="1"/>
  <c r="P438" i="1"/>
  <c r="O438" i="1"/>
  <c r="N438" i="1"/>
  <c r="T437" i="1"/>
  <c r="S437" i="1"/>
  <c r="R437" i="1"/>
  <c r="Q437" i="1"/>
  <c r="P437" i="1"/>
  <c r="O437" i="1"/>
  <c r="N437" i="1"/>
  <c r="T436" i="1"/>
  <c r="S436" i="1"/>
  <c r="R436" i="1"/>
  <c r="Q436" i="1"/>
  <c r="P436" i="1"/>
  <c r="O436" i="1"/>
  <c r="N436" i="1"/>
  <c r="T435" i="1"/>
  <c r="S435" i="1"/>
  <c r="R435" i="1"/>
  <c r="Q435" i="1"/>
  <c r="P435" i="1"/>
  <c r="O435" i="1"/>
  <c r="N435" i="1"/>
  <c r="T434" i="1"/>
  <c r="S434" i="1"/>
  <c r="R434" i="1"/>
  <c r="Q434" i="1"/>
  <c r="P434" i="1"/>
  <c r="O434" i="1"/>
  <c r="N434" i="1"/>
  <c r="T433" i="1"/>
  <c r="S433" i="1"/>
  <c r="R433" i="1"/>
  <c r="Q433" i="1"/>
  <c r="P433" i="1"/>
  <c r="O433" i="1"/>
  <c r="N433" i="1"/>
  <c r="T432" i="1"/>
  <c r="S432" i="1"/>
  <c r="R432" i="1"/>
  <c r="Q432" i="1"/>
  <c r="P432" i="1"/>
  <c r="O432" i="1"/>
  <c r="N432" i="1"/>
  <c r="T431" i="1"/>
  <c r="S431" i="1"/>
  <c r="R431" i="1"/>
  <c r="Q431" i="1"/>
  <c r="P431" i="1"/>
  <c r="O431" i="1"/>
  <c r="N431" i="1"/>
  <c r="T430" i="1"/>
  <c r="S430" i="1"/>
  <c r="R430" i="1"/>
  <c r="Q430" i="1"/>
  <c r="P430" i="1"/>
  <c r="O430" i="1"/>
  <c r="N430" i="1"/>
  <c r="T429" i="1"/>
  <c r="S429" i="1"/>
  <c r="R429" i="1"/>
  <c r="Q429" i="1"/>
  <c r="P429" i="1"/>
  <c r="O429" i="1"/>
  <c r="N429" i="1"/>
  <c r="T428" i="1"/>
  <c r="S428" i="1"/>
  <c r="R428" i="1"/>
  <c r="Q428" i="1"/>
  <c r="P428" i="1"/>
  <c r="O428" i="1"/>
  <c r="N428" i="1"/>
  <c r="T427" i="1"/>
  <c r="S427" i="1"/>
  <c r="R427" i="1"/>
  <c r="Q427" i="1"/>
  <c r="P427" i="1"/>
  <c r="O427" i="1"/>
  <c r="N427" i="1"/>
  <c r="T426" i="1"/>
  <c r="S426" i="1"/>
  <c r="R426" i="1"/>
  <c r="Q426" i="1"/>
  <c r="P426" i="1"/>
  <c r="O426" i="1"/>
  <c r="N426" i="1"/>
  <c r="T425" i="1"/>
  <c r="S425" i="1"/>
  <c r="R425" i="1"/>
  <c r="Q425" i="1"/>
  <c r="P425" i="1"/>
  <c r="O425" i="1"/>
  <c r="N425" i="1"/>
  <c r="T424" i="1"/>
  <c r="S424" i="1"/>
  <c r="R424" i="1"/>
  <c r="Q424" i="1"/>
  <c r="P424" i="1"/>
  <c r="O424" i="1"/>
  <c r="N424" i="1"/>
  <c r="T423" i="1"/>
  <c r="S423" i="1"/>
  <c r="R423" i="1"/>
  <c r="Q423" i="1"/>
  <c r="P423" i="1"/>
  <c r="O423" i="1"/>
  <c r="N423" i="1"/>
  <c r="T422" i="1"/>
  <c r="S422" i="1"/>
  <c r="R422" i="1"/>
  <c r="Q422" i="1"/>
  <c r="P422" i="1"/>
  <c r="O422" i="1"/>
  <c r="N422" i="1"/>
  <c r="T421" i="1"/>
  <c r="S421" i="1"/>
  <c r="R421" i="1"/>
  <c r="Q421" i="1"/>
  <c r="P421" i="1"/>
  <c r="O421" i="1"/>
  <c r="N421" i="1"/>
  <c r="T420" i="1"/>
  <c r="S420" i="1"/>
  <c r="R420" i="1"/>
  <c r="Q420" i="1"/>
  <c r="P420" i="1"/>
  <c r="O420" i="1"/>
  <c r="N420" i="1"/>
  <c r="T419" i="1"/>
  <c r="S419" i="1"/>
  <c r="R419" i="1"/>
  <c r="Q419" i="1"/>
  <c r="P419" i="1"/>
  <c r="O419" i="1"/>
  <c r="N419" i="1"/>
  <c r="T418" i="1"/>
  <c r="S418" i="1"/>
  <c r="R418" i="1"/>
  <c r="Q418" i="1"/>
  <c r="P418" i="1"/>
  <c r="O418" i="1"/>
  <c r="N418" i="1"/>
  <c r="T417" i="1"/>
  <c r="S417" i="1"/>
  <c r="R417" i="1"/>
  <c r="Q417" i="1"/>
  <c r="P417" i="1"/>
  <c r="O417" i="1"/>
  <c r="N417" i="1"/>
  <c r="T416" i="1"/>
  <c r="S416" i="1"/>
  <c r="R416" i="1"/>
  <c r="Q416" i="1"/>
  <c r="P416" i="1"/>
  <c r="O416" i="1"/>
  <c r="N416" i="1"/>
  <c r="T415" i="1"/>
  <c r="S415" i="1"/>
  <c r="R415" i="1"/>
  <c r="Q415" i="1"/>
  <c r="P415" i="1"/>
  <c r="O415" i="1"/>
  <c r="N415" i="1"/>
  <c r="T414" i="1"/>
  <c r="S414" i="1"/>
  <c r="R414" i="1"/>
  <c r="Q414" i="1"/>
  <c r="P414" i="1"/>
  <c r="O414" i="1"/>
  <c r="N414" i="1"/>
  <c r="T413" i="1"/>
  <c r="S413" i="1"/>
  <c r="R413" i="1"/>
  <c r="Q413" i="1"/>
  <c r="P413" i="1"/>
  <c r="O413" i="1"/>
  <c r="N413" i="1"/>
  <c r="T412" i="1"/>
  <c r="S412" i="1"/>
  <c r="R412" i="1"/>
  <c r="Q412" i="1"/>
  <c r="P412" i="1"/>
  <c r="O412" i="1"/>
  <c r="N412" i="1"/>
  <c r="T411" i="1"/>
  <c r="S411" i="1"/>
  <c r="R411" i="1"/>
  <c r="Q411" i="1"/>
  <c r="P411" i="1"/>
  <c r="O411" i="1"/>
  <c r="N411" i="1"/>
  <c r="T410" i="1"/>
  <c r="S410" i="1"/>
  <c r="R410" i="1"/>
  <c r="Q410" i="1"/>
  <c r="P410" i="1"/>
  <c r="O410" i="1"/>
  <c r="N410" i="1"/>
  <c r="T409" i="1"/>
  <c r="S409" i="1"/>
  <c r="R409" i="1"/>
  <c r="Q409" i="1"/>
  <c r="P409" i="1"/>
  <c r="O409" i="1"/>
  <c r="N409" i="1"/>
  <c r="T408" i="1"/>
  <c r="S408" i="1"/>
  <c r="R408" i="1"/>
  <c r="Q408" i="1"/>
  <c r="P408" i="1"/>
  <c r="O408" i="1"/>
  <c r="N408" i="1"/>
  <c r="T407" i="1"/>
  <c r="S407" i="1"/>
  <c r="R407" i="1"/>
  <c r="Q407" i="1"/>
  <c r="P407" i="1"/>
  <c r="O407" i="1"/>
  <c r="N407" i="1"/>
  <c r="T406" i="1"/>
  <c r="S406" i="1"/>
  <c r="R406" i="1"/>
  <c r="Q406" i="1"/>
  <c r="P406" i="1"/>
  <c r="O406" i="1"/>
  <c r="N406" i="1"/>
  <c r="T405" i="1"/>
  <c r="S405" i="1"/>
  <c r="R405" i="1"/>
  <c r="Q405" i="1"/>
  <c r="P405" i="1"/>
  <c r="O405" i="1"/>
  <c r="N405" i="1"/>
  <c r="T404" i="1"/>
  <c r="S404" i="1"/>
  <c r="R404" i="1"/>
  <c r="Q404" i="1"/>
  <c r="P404" i="1"/>
  <c r="O404" i="1"/>
  <c r="N404" i="1"/>
  <c r="T403" i="1"/>
  <c r="S403" i="1"/>
  <c r="R403" i="1"/>
  <c r="Q403" i="1"/>
  <c r="P403" i="1"/>
  <c r="O403" i="1"/>
  <c r="N403" i="1"/>
  <c r="T402" i="1"/>
  <c r="S402" i="1"/>
  <c r="R402" i="1"/>
  <c r="Q402" i="1"/>
  <c r="P402" i="1"/>
  <c r="O402" i="1"/>
  <c r="N402" i="1"/>
  <c r="T401" i="1"/>
  <c r="S401" i="1"/>
  <c r="R401" i="1"/>
  <c r="Q401" i="1"/>
  <c r="P401" i="1"/>
  <c r="O401" i="1"/>
  <c r="N401" i="1"/>
  <c r="T400" i="1"/>
  <c r="S400" i="1"/>
  <c r="R400" i="1"/>
  <c r="Q400" i="1"/>
  <c r="P400" i="1"/>
  <c r="O400" i="1"/>
  <c r="N400" i="1"/>
  <c r="T399" i="1"/>
  <c r="S399" i="1"/>
  <c r="R399" i="1"/>
  <c r="Q399" i="1"/>
  <c r="P399" i="1"/>
  <c r="O399" i="1"/>
  <c r="N399" i="1"/>
  <c r="T398" i="1"/>
  <c r="S398" i="1"/>
  <c r="R398" i="1"/>
  <c r="Q398" i="1"/>
  <c r="P398" i="1"/>
  <c r="O398" i="1"/>
  <c r="N398" i="1"/>
  <c r="T397" i="1"/>
  <c r="S397" i="1"/>
  <c r="R397" i="1"/>
  <c r="Q397" i="1"/>
  <c r="P397" i="1"/>
  <c r="O397" i="1"/>
  <c r="N397" i="1"/>
  <c r="T396" i="1"/>
  <c r="S396" i="1"/>
  <c r="R396" i="1"/>
  <c r="Q396" i="1"/>
  <c r="P396" i="1"/>
  <c r="O396" i="1"/>
  <c r="N396" i="1"/>
  <c r="T395" i="1"/>
  <c r="S395" i="1"/>
  <c r="R395" i="1"/>
  <c r="Q395" i="1"/>
  <c r="P395" i="1"/>
  <c r="O395" i="1"/>
  <c r="N395" i="1"/>
  <c r="T394" i="1"/>
  <c r="S394" i="1"/>
  <c r="R394" i="1"/>
  <c r="Q394" i="1"/>
  <c r="P394" i="1"/>
  <c r="O394" i="1"/>
  <c r="N394" i="1"/>
  <c r="T393" i="1"/>
  <c r="S393" i="1"/>
  <c r="R393" i="1"/>
  <c r="Q393" i="1"/>
  <c r="P393" i="1"/>
  <c r="O393" i="1"/>
  <c r="N393" i="1"/>
  <c r="T392" i="1"/>
  <c r="S392" i="1"/>
  <c r="R392" i="1"/>
  <c r="Q392" i="1"/>
  <c r="P392" i="1"/>
  <c r="O392" i="1"/>
  <c r="N392" i="1"/>
  <c r="T391" i="1"/>
  <c r="S391" i="1"/>
  <c r="R391" i="1"/>
  <c r="Q391" i="1"/>
  <c r="P391" i="1"/>
  <c r="O391" i="1"/>
  <c r="N391" i="1"/>
  <c r="T390" i="1"/>
  <c r="S390" i="1"/>
  <c r="R390" i="1"/>
  <c r="Q390" i="1"/>
  <c r="P390" i="1"/>
  <c r="O390" i="1"/>
  <c r="N390" i="1"/>
  <c r="T389" i="1"/>
  <c r="S389" i="1"/>
  <c r="R389" i="1"/>
  <c r="Q389" i="1"/>
  <c r="P389" i="1"/>
  <c r="O389" i="1"/>
  <c r="N389" i="1"/>
  <c r="T388" i="1"/>
  <c r="S388" i="1"/>
  <c r="R388" i="1"/>
  <c r="Q388" i="1"/>
  <c r="P388" i="1"/>
  <c r="O388" i="1"/>
  <c r="N388" i="1"/>
  <c r="T387" i="1"/>
  <c r="S387" i="1"/>
  <c r="R387" i="1"/>
  <c r="Q387" i="1"/>
  <c r="P387" i="1"/>
  <c r="O387" i="1"/>
  <c r="N387" i="1"/>
  <c r="T386" i="1"/>
  <c r="S386" i="1"/>
  <c r="R386" i="1"/>
  <c r="Q386" i="1"/>
  <c r="P386" i="1"/>
  <c r="O386" i="1"/>
  <c r="N386" i="1"/>
  <c r="T385" i="1"/>
  <c r="S385" i="1"/>
  <c r="R385" i="1"/>
  <c r="Q385" i="1"/>
  <c r="P385" i="1"/>
  <c r="O385" i="1"/>
  <c r="N385" i="1"/>
  <c r="T384" i="1"/>
  <c r="S384" i="1"/>
  <c r="R384" i="1"/>
  <c r="Q384" i="1"/>
  <c r="P384" i="1"/>
  <c r="O384" i="1"/>
  <c r="N384" i="1"/>
  <c r="T383" i="1"/>
  <c r="S383" i="1"/>
  <c r="R383" i="1"/>
  <c r="Q383" i="1"/>
  <c r="P383" i="1"/>
  <c r="O383" i="1"/>
  <c r="N383" i="1"/>
  <c r="T382" i="1"/>
  <c r="S382" i="1"/>
  <c r="R382" i="1"/>
  <c r="Q382" i="1"/>
  <c r="P382" i="1"/>
  <c r="O382" i="1"/>
  <c r="N382" i="1"/>
  <c r="T381" i="1"/>
  <c r="S381" i="1"/>
  <c r="R381" i="1"/>
  <c r="Q381" i="1"/>
  <c r="P381" i="1"/>
  <c r="O381" i="1"/>
  <c r="N381" i="1"/>
  <c r="T380" i="1"/>
  <c r="S380" i="1"/>
  <c r="R380" i="1"/>
  <c r="Q380" i="1"/>
  <c r="P380" i="1"/>
  <c r="O380" i="1"/>
  <c r="N380" i="1"/>
  <c r="T379" i="1"/>
  <c r="S379" i="1"/>
  <c r="R379" i="1"/>
  <c r="Q379" i="1"/>
  <c r="P379" i="1"/>
  <c r="O379" i="1"/>
  <c r="N379" i="1"/>
  <c r="T378" i="1"/>
  <c r="S378" i="1"/>
  <c r="R378" i="1"/>
  <c r="Q378" i="1"/>
  <c r="P378" i="1"/>
  <c r="O378" i="1"/>
  <c r="N378" i="1"/>
  <c r="T377" i="1"/>
  <c r="S377" i="1"/>
  <c r="R377" i="1"/>
  <c r="Q377" i="1"/>
  <c r="P377" i="1"/>
  <c r="O377" i="1"/>
  <c r="N377" i="1"/>
  <c r="T376" i="1"/>
  <c r="S376" i="1"/>
  <c r="R376" i="1"/>
  <c r="Q376" i="1"/>
  <c r="P376" i="1"/>
  <c r="O376" i="1"/>
  <c r="N376" i="1"/>
  <c r="T375" i="1"/>
  <c r="S375" i="1"/>
  <c r="R375" i="1"/>
  <c r="Q375" i="1"/>
  <c r="P375" i="1"/>
  <c r="O375" i="1"/>
  <c r="N375" i="1"/>
  <c r="T374" i="1"/>
  <c r="S374" i="1"/>
  <c r="R374" i="1"/>
  <c r="Q374" i="1"/>
  <c r="P374" i="1"/>
  <c r="O374" i="1"/>
  <c r="N374" i="1"/>
  <c r="T373" i="1"/>
  <c r="S373" i="1"/>
  <c r="R373" i="1"/>
  <c r="Q373" i="1"/>
  <c r="P373" i="1"/>
  <c r="O373" i="1"/>
  <c r="N373" i="1"/>
  <c r="T372" i="1"/>
  <c r="S372" i="1"/>
  <c r="R372" i="1"/>
  <c r="Q372" i="1"/>
  <c r="P372" i="1"/>
  <c r="O372" i="1"/>
  <c r="N372" i="1"/>
  <c r="T371" i="1"/>
  <c r="S371" i="1"/>
  <c r="R371" i="1"/>
  <c r="Q371" i="1"/>
  <c r="P371" i="1"/>
  <c r="O371" i="1"/>
  <c r="N371" i="1"/>
  <c r="T370" i="1"/>
  <c r="S370" i="1"/>
  <c r="R370" i="1"/>
  <c r="Q370" i="1"/>
  <c r="P370" i="1"/>
  <c r="O370" i="1"/>
  <c r="N370" i="1"/>
  <c r="T369" i="1"/>
  <c r="S369" i="1"/>
  <c r="R369" i="1"/>
  <c r="Q369" i="1"/>
  <c r="P369" i="1"/>
  <c r="O369" i="1"/>
  <c r="N369" i="1"/>
  <c r="T368" i="1"/>
  <c r="S368" i="1"/>
  <c r="R368" i="1"/>
  <c r="Q368" i="1"/>
  <c r="P368" i="1"/>
  <c r="O368" i="1"/>
  <c r="N368" i="1"/>
  <c r="T367" i="1"/>
  <c r="S367" i="1"/>
  <c r="R367" i="1"/>
  <c r="Q367" i="1"/>
  <c r="P367" i="1"/>
  <c r="O367" i="1"/>
  <c r="N367" i="1"/>
  <c r="T366" i="1"/>
  <c r="S366" i="1"/>
  <c r="R366" i="1"/>
  <c r="Q366" i="1"/>
  <c r="P366" i="1"/>
  <c r="O366" i="1"/>
  <c r="N366" i="1"/>
  <c r="T365" i="1"/>
  <c r="S365" i="1"/>
  <c r="R365" i="1"/>
  <c r="Q365" i="1"/>
  <c r="P365" i="1"/>
  <c r="O365" i="1"/>
  <c r="N365" i="1"/>
  <c r="T364" i="1"/>
  <c r="S364" i="1"/>
  <c r="R364" i="1"/>
  <c r="Q364" i="1"/>
  <c r="P364" i="1"/>
  <c r="O364" i="1"/>
  <c r="N364" i="1"/>
  <c r="T363" i="1"/>
  <c r="S363" i="1"/>
  <c r="R363" i="1"/>
  <c r="Q363" i="1"/>
  <c r="P363" i="1"/>
  <c r="O363" i="1"/>
  <c r="N363" i="1"/>
  <c r="T362" i="1"/>
  <c r="S362" i="1"/>
  <c r="R362" i="1"/>
  <c r="Q362" i="1"/>
  <c r="P362" i="1"/>
  <c r="O362" i="1"/>
  <c r="N362" i="1"/>
  <c r="T361" i="1"/>
  <c r="S361" i="1"/>
  <c r="R361" i="1"/>
  <c r="Q361" i="1"/>
  <c r="P361" i="1"/>
  <c r="O361" i="1"/>
  <c r="N361" i="1"/>
  <c r="T360" i="1"/>
  <c r="S360" i="1"/>
  <c r="R360" i="1"/>
  <c r="Q360" i="1"/>
  <c r="P360" i="1"/>
  <c r="O360" i="1"/>
  <c r="N360" i="1"/>
  <c r="T359" i="1"/>
  <c r="S359" i="1"/>
  <c r="R359" i="1"/>
  <c r="Q359" i="1"/>
  <c r="P359" i="1"/>
  <c r="O359" i="1"/>
  <c r="N359" i="1"/>
  <c r="T358" i="1"/>
  <c r="S358" i="1"/>
  <c r="R358" i="1"/>
  <c r="Q358" i="1"/>
  <c r="P358" i="1"/>
  <c r="O358" i="1"/>
  <c r="N358" i="1"/>
  <c r="T357" i="1"/>
  <c r="S357" i="1"/>
  <c r="R357" i="1"/>
  <c r="Q357" i="1"/>
  <c r="P357" i="1"/>
  <c r="O357" i="1"/>
  <c r="N357" i="1"/>
  <c r="T356" i="1"/>
  <c r="S356" i="1"/>
  <c r="R356" i="1"/>
  <c r="Q356" i="1"/>
  <c r="P356" i="1"/>
  <c r="O356" i="1"/>
  <c r="N356" i="1"/>
  <c r="T355" i="1"/>
  <c r="S355" i="1"/>
  <c r="R355" i="1"/>
  <c r="Q355" i="1"/>
  <c r="P355" i="1"/>
  <c r="O355" i="1"/>
  <c r="N355" i="1"/>
  <c r="T354" i="1"/>
  <c r="S354" i="1"/>
  <c r="R354" i="1"/>
  <c r="Q354" i="1"/>
  <c r="P354" i="1"/>
  <c r="O354" i="1"/>
  <c r="N354" i="1"/>
  <c r="T353" i="1"/>
  <c r="S353" i="1"/>
  <c r="R353" i="1"/>
  <c r="Q353" i="1"/>
  <c r="P353" i="1"/>
  <c r="O353" i="1"/>
  <c r="N353" i="1"/>
  <c r="T352" i="1"/>
  <c r="S352" i="1"/>
  <c r="R352" i="1"/>
  <c r="Q352" i="1"/>
  <c r="P352" i="1"/>
  <c r="O352" i="1"/>
  <c r="N352" i="1"/>
  <c r="T351" i="1"/>
  <c r="S351" i="1"/>
  <c r="R351" i="1"/>
  <c r="Q351" i="1"/>
  <c r="P351" i="1"/>
  <c r="O351" i="1"/>
  <c r="N351" i="1"/>
  <c r="T350" i="1"/>
  <c r="S350" i="1"/>
  <c r="R350" i="1"/>
  <c r="Q350" i="1"/>
  <c r="P350" i="1"/>
  <c r="O350" i="1"/>
  <c r="N350" i="1"/>
  <c r="T349" i="1"/>
  <c r="S349" i="1"/>
  <c r="R349" i="1"/>
  <c r="Q349" i="1"/>
  <c r="P349" i="1"/>
  <c r="O349" i="1"/>
  <c r="N349" i="1"/>
  <c r="T348" i="1"/>
  <c r="S348" i="1"/>
  <c r="R348" i="1"/>
  <c r="Q348" i="1"/>
  <c r="P348" i="1"/>
  <c r="O348" i="1"/>
  <c r="N348" i="1"/>
  <c r="T347" i="1"/>
  <c r="S347" i="1"/>
  <c r="R347" i="1"/>
  <c r="Q347" i="1"/>
  <c r="P347" i="1"/>
  <c r="O347" i="1"/>
  <c r="N347" i="1"/>
  <c r="T346" i="1"/>
  <c r="S346" i="1"/>
  <c r="R346" i="1"/>
  <c r="Q346" i="1"/>
  <c r="P346" i="1"/>
  <c r="O346" i="1"/>
  <c r="N346" i="1"/>
  <c r="T345" i="1"/>
  <c r="S345" i="1"/>
  <c r="R345" i="1"/>
  <c r="Q345" i="1"/>
  <c r="P345" i="1"/>
  <c r="O345" i="1"/>
  <c r="N345" i="1"/>
  <c r="T344" i="1"/>
  <c r="S344" i="1"/>
  <c r="R344" i="1"/>
  <c r="Q344" i="1"/>
  <c r="P344" i="1"/>
  <c r="O344" i="1"/>
  <c r="N344" i="1"/>
  <c r="T343" i="1"/>
  <c r="S343" i="1"/>
  <c r="R343" i="1"/>
  <c r="Q343" i="1"/>
  <c r="P343" i="1"/>
  <c r="O343" i="1"/>
  <c r="N343" i="1"/>
  <c r="T342" i="1"/>
  <c r="S342" i="1"/>
  <c r="R342" i="1"/>
  <c r="Q342" i="1"/>
  <c r="P342" i="1"/>
  <c r="O342" i="1"/>
  <c r="N342" i="1"/>
  <c r="T341" i="1"/>
  <c r="S341" i="1"/>
  <c r="R341" i="1"/>
  <c r="Q341" i="1"/>
  <c r="P341" i="1"/>
  <c r="O341" i="1"/>
  <c r="N341" i="1"/>
  <c r="T340" i="1"/>
  <c r="S340" i="1"/>
  <c r="R340" i="1"/>
  <c r="Q340" i="1"/>
  <c r="P340" i="1"/>
  <c r="O340" i="1"/>
  <c r="N340" i="1"/>
  <c r="T339" i="1"/>
  <c r="S339" i="1"/>
  <c r="R339" i="1"/>
  <c r="Q339" i="1"/>
  <c r="P339" i="1"/>
  <c r="O339" i="1"/>
  <c r="N339" i="1"/>
  <c r="T338" i="1"/>
  <c r="S338" i="1"/>
  <c r="R338" i="1"/>
  <c r="Q338" i="1"/>
  <c r="P338" i="1"/>
  <c r="O338" i="1"/>
  <c r="N338" i="1"/>
  <c r="T337" i="1"/>
  <c r="S337" i="1"/>
  <c r="R337" i="1"/>
  <c r="Q337" i="1"/>
  <c r="P337" i="1"/>
  <c r="O337" i="1"/>
  <c r="N337" i="1"/>
  <c r="T336" i="1"/>
  <c r="S336" i="1"/>
  <c r="R336" i="1"/>
  <c r="Q336" i="1"/>
  <c r="P336" i="1"/>
  <c r="O336" i="1"/>
  <c r="N336" i="1"/>
  <c r="T335" i="1"/>
  <c r="S335" i="1"/>
  <c r="R335" i="1"/>
  <c r="Q335" i="1"/>
  <c r="P335" i="1"/>
  <c r="O335" i="1"/>
  <c r="N335" i="1"/>
  <c r="T334" i="1"/>
  <c r="S334" i="1"/>
  <c r="R334" i="1"/>
  <c r="Q334" i="1"/>
  <c r="P334" i="1"/>
  <c r="O334" i="1"/>
  <c r="N334" i="1"/>
  <c r="T333" i="1"/>
  <c r="S333" i="1"/>
  <c r="R333" i="1"/>
  <c r="Q333" i="1"/>
  <c r="P333" i="1"/>
  <c r="O333" i="1"/>
  <c r="N333" i="1"/>
  <c r="T332" i="1"/>
  <c r="S332" i="1"/>
  <c r="R332" i="1"/>
  <c r="Q332" i="1"/>
  <c r="P332" i="1"/>
  <c r="O332" i="1"/>
  <c r="N332" i="1"/>
  <c r="T331" i="1"/>
  <c r="S331" i="1"/>
  <c r="R331" i="1"/>
  <c r="Q331" i="1"/>
  <c r="P331" i="1"/>
  <c r="O331" i="1"/>
  <c r="N331" i="1"/>
  <c r="T330" i="1"/>
  <c r="S330" i="1"/>
  <c r="R330" i="1"/>
  <c r="Q330" i="1"/>
  <c r="P330" i="1"/>
  <c r="O330" i="1"/>
  <c r="N330" i="1"/>
  <c r="T329" i="1"/>
  <c r="S329" i="1"/>
  <c r="R329" i="1"/>
  <c r="Q329" i="1"/>
  <c r="P329" i="1"/>
  <c r="O329" i="1"/>
  <c r="N329" i="1"/>
  <c r="T328" i="1"/>
  <c r="S328" i="1"/>
  <c r="R328" i="1"/>
  <c r="Q328" i="1"/>
  <c r="P328" i="1"/>
  <c r="O328" i="1"/>
  <c r="N328" i="1"/>
  <c r="T327" i="1"/>
  <c r="S327" i="1"/>
  <c r="R327" i="1"/>
  <c r="Q327" i="1"/>
  <c r="P327" i="1"/>
  <c r="O327" i="1"/>
  <c r="N327" i="1"/>
  <c r="T326" i="1"/>
  <c r="S326" i="1"/>
  <c r="R326" i="1"/>
  <c r="Q326" i="1"/>
  <c r="P326" i="1"/>
  <c r="O326" i="1"/>
  <c r="N326" i="1"/>
  <c r="T325" i="1"/>
  <c r="S325" i="1"/>
  <c r="R325" i="1"/>
  <c r="Q325" i="1"/>
  <c r="P325" i="1"/>
  <c r="O325" i="1"/>
  <c r="N325" i="1"/>
  <c r="T324" i="1"/>
  <c r="S324" i="1"/>
  <c r="R324" i="1"/>
  <c r="Q324" i="1"/>
  <c r="P324" i="1"/>
  <c r="O324" i="1"/>
  <c r="N324" i="1"/>
  <c r="T323" i="1"/>
  <c r="S323" i="1"/>
  <c r="R323" i="1"/>
  <c r="Q323" i="1"/>
  <c r="P323" i="1"/>
  <c r="O323" i="1"/>
  <c r="N323" i="1"/>
  <c r="T322" i="1"/>
  <c r="S322" i="1"/>
  <c r="R322" i="1"/>
  <c r="Q322" i="1"/>
  <c r="P322" i="1"/>
  <c r="O322" i="1"/>
  <c r="N322" i="1"/>
  <c r="T321" i="1"/>
  <c r="S321" i="1"/>
  <c r="R321" i="1"/>
  <c r="Q321" i="1"/>
  <c r="P321" i="1"/>
  <c r="O321" i="1"/>
  <c r="N321" i="1"/>
  <c r="T320" i="1"/>
  <c r="S320" i="1"/>
  <c r="R320" i="1"/>
  <c r="Q320" i="1"/>
  <c r="P320" i="1"/>
  <c r="O320" i="1"/>
  <c r="N320" i="1"/>
  <c r="T319" i="1"/>
  <c r="S319" i="1"/>
  <c r="R319" i="1"/>
  <c r="Q319" i="1"/>
  <c r="P319" i="1"/>
  <c r="O319" i="1"/>
  <c r="N319" i="1"/>
  <c r="T318" i="1"/>
  <c r="S318" i="1"/>
  <c r="R318" i="1"/>
  <c r="Q318" i="1"/>
  <c r="P318" i="1"/>
  <c r="O318" i="1"/>
  <c r="N318" i="1"/>
  <c r="T317" i="1"/>
  <c r="S317" i="1"/>
  <c r="R317" i="1"/>
  <c r="Q317" i="1"/>
  <c r="P317" i="1"/>
  <c r="O317" i="1"/>
  <c r="N317" i="1"/>
  <c r="T316" i="1"/>
  <c r="S316" i="1"/>
  <c r="R316" i="1"/>
  <c r="Q316" i="1"/>
  <c r="P316" i="1"/>
  <c r="O316" i="1"/>
  <c r="N316" i="1"/>
  <c r="T315" i="1"/>
  <c r="S315" i="1"/>
  <c r="R315" i="1"/>
  <c r="Q315" i="1"/>
  <c r="P315" i="1"/>
  <c r="O315" i="1"/>
  <c r="N315" i="1"/>
  <c r="T314" i="1"/>
  <c r="S314" i="1"/>
  <c r="R314" i="1"/>
  <c r="Q314" i="1"/>
  <c r="P314" i="1"/>
  <c r="O314" i="1"/>
  <c r="N314" i="1"/>
  <c r="T313" i="1"/>
  <c r="S313" i="1"/>
  <c r="R313" i="1"/>
  <c r="Q313" i="1"/>
  <c r="P313" i="1"/>
  <c r="O313" i="1"/>
  <c r="N313" i="1"/>
  <c r="T312" i="1"/>
  <c r="S312" i="1"/>
  <c r="R312" i="1"/>
  <c r="Q312" i="1"/>
  <c r="P312" i="1"/>
  <c r="O312" i="1"/>
  <c r="N312" i="1"/>
  <c r="T311" i="1"/>
  <c r="S311" i="1"/>
  <c r="R311" i="1"/>
  <c r="Q311" i="1"/>
  <c r="P311" i="1"/>
  <c r="O311" i="1"/>
  <c r="N311" i="1"/>
  <c r="T310" i="1"/>
  <c r="S310" i="1"/>
  <c r="R310" i="1"/>
  <c r="Q310" i="1"/>
  <c r="P310" i="1"/>
  <c r="O310" i="1"/>
  <c r="N310" i="1"/>
  <c r="T309" i="1"/>
  <c r="S309" i="1"/>
  <c r="R309" i="1"/>
  <c r="Q309" i="1"/>
  <c r="P309" i="1"/>
  <c r="O309" i="1"/>
  <c r="N309" i="1"/>
  <c r="T308" i="1"/>
  <c r="S308" i="1"/>
  <c r="R308" i="1"/>
  <c r="Q308" i="1"/>
  <c r="P308" i="1"/>
  <c r="O308" i="1"/>
  <c r="N308" i="1"/>
  <c r="T307" i="1"/>
  <c r="S307" i="1"/>
  <c r="R307" i="1"/>
  <c r="Q307" i="1"/>
  <c r="P307" i="1"/>
  <c r="O307" i="1"/>
  <c r="N307" i="1"/>
  <c r="T306" i="1"/>
  <c r="S306" i="1"/>
  <c r="R306" i="1"/>
  <c r="Q306" i="1"/>
  <c r="P306" i="1"/>
  <c r="O306" i="1"/>
  <c r="N306" i="1"/>
  <c r="T305" i="1"/>
  <c r="S305" i="1"/>
  <c r="R305" i="1"/>
  <c r="Q305" i="1"/>
  <c r="P305" i="1"/>
  <c r="O305" i="1"/>
  <c r="N305" i="1"/>
  <c r="T304" i="1"/>
  <c r="S304" i="1"/>
  <c r="R304" i="1"/>
  <c r="Q304" i="1"/>
  <c r="P304" i="1"/>
  <c r="O304" i="1"/>
  <c r="N304" i="1"/>
  <c r="T303" i="1"/>
  <c r="S303" i="1"/>
  <c r="R303" i="1"/>
  <c r="Q303" i="1"/>
  <c r="P303" i="1"/>
  <c r="O303" i="1"/>
  <c r="N303" i="1"/>
  <c r="T302" i="1"/>
  <c r="S302" i="1"/>
  <c r="R302" i="1"/>
  <c r="Q302" i="1"/>
  <c r="P302" i="1"/>
  <c r="O302" i="1"/>
  <c r="N302" i="1"/>
  <c r="T301" i="1"/>
  <c r="S301" i="1"/>
  <c r="R301" i="1"/>
  <c r="Q301" i="1"/>
  <c r="P301" i="1"/>
  <c r="O301" i="1"/>
  <c r="N301" i="1"/>
  <c r="T300" i="1"/>
  <c r="S300" i="1"/>
  <c r="R300" i="1"/>
  <c r="Q300" i="1"/>
  <c r="P300" i="1"/>
  <c r="O300" i="1"/>
  <c r="N300" i="1"/>
  <c r="T299" i="1"/>
  <c r="S299" i="1"/>
  <c r="R299" i="1"/>
  <c r="Q299" i="1"/>
  <c r="P299" i="1"/>
  <c r="O299" i="1"/>
  <c r="N299" i="1"/>
  <c r="T298" i="1"/>
  <c r="S298" i="1"/>
  <c r="R298" i="1"/>
  <c r="Q298" i="1"/>
  <c r="P298" i="1"/>
  <c r="O298" i="1"/>
  <c r="N298" i="1"/>
  <c r="T297" i="1"/>
  <c r="S297" i="1"/>
  <c r="R297" i="1"/>
  <c r="Q297" i="1"/>
  <c r="P297" i="1"/>
  <c r="O297" i="1"/>
  <c r="N297" i="1"/>
  <c r="T296" i="1"/>
  <c r="S296" i="1"/>
  <c r="R296" i="1"/>
  <c r="Q296" i="1"/>
  <c r="P296" i="1"/>
  <c r="O296" i="1"/>
  <c r="N296" i="1"/>
  <c r="T295" i="1"/>
  <c r="S295" i="1"/>
  <c r="R295" i="1"/>
  <c r="Q295" i="1"/>
  <c r="P295" i="1"/>
  <c r="O295" i="1"/>
  <c r="N295" i="1"/>
  <c r="T294" i="1"/>
  <c r="S294" i="1"/>
  <c r="R294" i="1"/>
  <c r="Q294" i="1"/>
  <c r="P294" i="1"/>
  <c r="O294" i="1"/>
  <c r="N294" i="1"/>
  <c r="T293" i="1"/>
  <c r="S293" i="1"/>
  <c r="R293" i="1"/>
  <c r="Q293" i="1"/>
  <c r="P293" i="1"/>
  <c r="O293" i="1"/>
  <c r="N293" i="1"/>
  <c r="T292" i="1"/>
  <c r="S292" i="1"/>
  <c r="R292" i="1"/>
  <c r="Q292" i="1"/>
  <c r="P292" i="1"/>
  <c r="O292" i="1"/>
  <c r="N292" i="1"/>
  <c r="T291" i="1"/>
  <c r="S291" i="1"/>
  <c r="R291" i="1"/>
  <c r="Q291" i="1"/>
  <c r="P291" i="1"/>
  <c r="O291" i="1"/>
  <c r="N291" i="1"/>
  <c r="T290" i="1"/>
  <c r="S290" i="1"/>
  <c r="R290" i="1"/>
  <c r="Q290" i="1"/>
  <c r="P290" i="1"/>
  <c r="O290" i="1"/>
  <c r="N290" i="1"/>
  <c r="T289" i="1"/>
  <c r="S289" i="1"/>
  <c r="R289" i="1"/>
  <c r="Q289" i="1"/>
  <c r="P289" i="1"/>
  <c r="O289" i="1"/>
  <c r="N289" i="1"/>
  <c r="T288" i="1"/>
  <c r="S288" i="1"/>
  <c r="R288" i="1"/>
  <c r="Q288" i="1"/>
  <c r="P288" i="1"/>
  <c r="O288" i="1"/>
  <c r="N288" i="1"/>
  <c r="T287" i="1"/>
  <c r="S287" i="1"/>
  <c r="R287" i="1"/>
  <c r="Q287" i="1"/>
  <c r="P287" i="1"/>
  <c r="O287" i="1"/>
  <c r="N287" i="1"/>
  <c r="T286" i="1"/>
  <c r="S286" i="1"/>
  <c r="R286" i="1"/>
  <c r="Q286" i="1"/>
  <c r="P286" i="1"/>
  <c r="O286" i="1"/>
  <c r="N286" i="1"/>
  <c r="T285" i="1"/>
  <c r="S285" i="1"/>
  <c r="R285" i="1"/>
  <c r="Q285" i="1"/>
  <c r="P285" i="1"/>
  <c r="O285" i="1"/>
  <c r="N285" i="1"/>
  <c r="T284" i="1"/>
  <c r="S284" i="1"/>
  <c r="R284" i="1"/>
  <c r="Q284" i="1"/>
  <c r="P284" i="1"/>
  <c r="O284" i="1"/>
  <c r="N284" i="1"/>
  <c r="T283" i="1"/>
  <c r="S283" i="1"/>
  <c r="R283" i="1"/>
  <c r="Q283" i="1"/>
  <c r="P283" i="1"/>
  <c r="O283" i="1"/>
  <c r="N283" i="1"/>
  <c r="T282" i="1"/>
  <c r="S282" i="1"/>
  <c r="R282" i="1"/>
  <c r="Q282" i="1"/>
  <c r="P282" i="1"/>
  <c r="O282" i="1"/>
  <c r="N282" i="1"/>
  <c r="T281" i="1"/>
  <c r="S281" i="1"/>
  <c r="R281" i="1"/>
  <c r="Q281" i="1"/>
  <c r="P281" i="1"/>
  <c r="O281" i="1"/>
  <c r="N281" i="1"/>
  <c r="T280" i="1"/>
  <c r="S280" i="1"/>
  <c r="R280" i="1"/>
  <c r="Q280" i="1"/>
  <c r="P280" i="1"/>
  <c r="O280" i="1"/>
  <c r="N280" i="1"/>
  <c r="T279" i="1"/>
  <c r="S279" i="1"/>
  <c r="R279" i="1"/>
  <c r="Q279" i="1"/>
  <c r="P279" i="1"/>
  <c r="O279" i="1"/>
  <c r="N279" i="1"/>
  <c r="T278" i="1"/>
  <c r="S278" i="1"/>
  <c r="R278" i="1"/>
  <c r="Q278" i="1"/>
  <c r="P278" i="1"/>
  <c r="O278" i="1"/>
  <c r="N278" i="1"/>
  <c r="T277" i="1"/>
  <c r="S277" i="1"/>
  <c r="R277" i="1"/>
  <c r="Q277" i="1"/>
  <c r="P277" i="1"/>
  <c r="O277" i="1"/>
  <c r="N277" i="1"/>
  <c r="T276" i="1"/>
  <c r="S276" i="1"/>
  <c r="R276" i="1"/>
  <c r="Q276" i="1"/>
  <c r="P276" i="1"/>
  <c r="O276" i="1"/>
  <c r="N276" i="1"/>
  <c r="T275" i="1"/>
  <c r="S275" i="1"/>
  <c r="R275" i="1"/>
  <c r="Q275" i="1"/>
  <c r="P275" i="1"/>
  <c r="O275" i="1"/>
  <c r="N275" i="1"/>
  <c r="T274" i="1"/>
  <c r="S274" i="1"/>
  <c r="R274" i="1"/>
  <c r="Q274" i="1"/>
  <c r="P274" i="1"/>
  <c r="O274" i="1"/>
  <c r="N274" i="1"/>
  <c r="T273" i="1"/>
  <c r="S273" i="1"/>
  <c r="R273" i="1"/>
  <c r="Q273" i="1"/>
  <c r="P273" i="1"/>
  <c r="O273" i="1"/>
  <c r="N273" i="1"/>
  <c r="T272" i="1"/>
  <c r="S272" i="1"/>
  <c r="R272" i="1"/>
  <c r="Q272" i="1"/>
  <c r="P272" i="1"/>
  <c r="O272" i="1"/>
  <c r="N272" i="1"/>
  <c r="T271" i="1"/>
  <c r="S271" i="1"/>
  <c r="R271" i="1"/>
  <c r="Q271" i="1"/>
  <c r="P271" i="1"/>
  <c r="O271" i="1"/>
  <c r="N271" i="1"/>
  <c r="T270" i="1"/>
  <c r="S270" i="1"/>
  <c r="R270" i="1"/>
  <c r="Q270" i="1"/>
  <c r="P270" i="1"/>
  <c r="O270" i="1"/>
  <c r="N270" i="1"/>
  <c r="T269" i="1"/>
  <c r="S269" i="1"/>
  <c r="R269" i="1"/>
  <c r="Q269" i="1"/>
  <c r="P269" i="1"/>
  <c r="O269" i="1"/>
  <c r="N269" i="1"/>
  <c r="T268" i="1"/>
  <c r="S268" i="1"/>
  <c r="R268" i="1"/>
  <c r="Q268" i="1"/>
  <c r="P268" i="1"/>
  <c r="O268" i="1"/>
  <c r="N268" i="1"/>
  <c r="T267" i="1"/>
  <c r="S267" i="1"/>
  <c r="R267" i="1"/>
  <c r="Q267" i="1"/>
  <c r="P267" i="1"/>
  <c r="O267" i="1"/>
  <c r="N267" i="1"/>
  <c r="T266" i="1"/>
  <c r="S266" i="1"/>
  <c r="R266" i="1"/>
  <c r="Q266" i="1"/>
  <c r="P266" i="1"/>
  <c r="O266" i="1"/>
  <c r="N266" i="1"/>
  <c r="T265" i="1"/>
  <c r="S265" i="1"/>
  <c r="R265" i="1"/>
  <c r="Q265" i="1"/>
  <c r="P265" i="1"/>
  <c r="O265" i="1"/>
  <c r="N265" i="1"/>
  <c r="T264" i="1"/>
  <c r="S264" i="1"/>
  <c r="R264" i="1"/>
  <c r="Q264" i="1"/>
  <c r="P264" i="1"/>
  <c r="O264" i="1"/>
  <c r="N264" i="1"/>
  <c r="T263" i="1"/>
  <c r="S263" i="1"/>
  <c r="R263" i="1"/>
  <c r="Q263" i="1"/>
  <c r="P263" i="1"/>
  <c r="O263" i="1"/>
  <c r="N263" i="1"/>
  <c r="T262" i="1"/>
  <c r="S262" i="1"/>
  <c r="R262" i="1"/>
  <c r="Q262" i="1"/>
  <c r="P262" i="1"/>
  <c r="O262" i="1"/>
  <c r="N262" i="1"/>
  <c r="T261" i="1"/>
  <c r="S261" i="1"/>
  <c r="R261" i="1"/>
  <c r="Q261" i="1"/>
  <c r="P261" i="1"/>
  <c r="O261" i="1"/>
  <c r="N261" i="1"/>
  <c r="T260" i="1"/>
  <c r="S260" i="1"/>
  <c r="R260" i="1"/>
  <c r="Q260" i="1"/>
  <c r="P260" i="1"/>
  <c r="O260" i="1"/>
  <c r="N260" i="1"/>
  <c r="T259" i="1"/>
  <c r="S259" i="1"/>
  <c r="R259" i="1"/>
  <c r="Q259" i="1"/>
  <c r="P259" i="1"/>
  <c r="O259" i="1"/>
  <c r="N259" i="1"/>
  <c r="T258" i="1"/>
  <c r="S258" i="1"/>
  <c r="R258" i="1"/>
  <c r="Q258" i="1"/>
  <c r="P258" i="1"/>
  <c r="O258" i="1"/>
  <c r="N258" i="1"/>
  <c r="T257" i="1"/>
  <c r="S257" i="1"/>
  <c r="R257" i="1"/>
  <c r="Q257" i="1"/>
  <c r="P257" i="1"/>
  <c r="O257" i="1"/>
  <c r="N257" i="1"/>
  <c r="T256" i="1"/>
  <c r="S256" i="1"/>
  <c r="R256" i="1"/>
  <c r="Q256" i="1"/>
  <c r="P256" i="1"/>
  <c r="O256" i="1"/>
  <c r="N256" i="1"/>
  <c r="T255" i="1"/>
  <c r="S255" i="1"/>
  <c r="R255" i="1"/>
  <c r="Q255" i="1"/>
  <c r="P255" i="1"/>
  <c r="O255" i="1"/>
  <c r="N255" i="1"/>
  <c r="T254" i="1"/>
  <c r="S254" i="1"/>
  <c r="R254" i="1"/>
  <c r="Q254" i="1"/>
  <c r="P254" i="1"/>
  <c r="O254" i="1"/>
  <c r="N254" i="1"/>
  <c r="T253" i="1"/>
  <c r="S253" i="1"/>
  <c r="R253" i="1"/>
  <c r="Q253" i="1"/>
  <c r="P253" i="1"/>
  <c r="O253" i="1"/>
  <c r="N253" i="1"/>
  <c r="T252" i="1"/>
  <c r="S252" i="1"/>
  <c r="R252" i="1"/>
  <c r="Q252" i="1"/>
  <c r="P252" i="1"/>
  <c r="O252" i="1"/>
  <c r="N252" i="1"/>
  <c r="T251" i="1"/>
  <c r="S251" i="1"/>
  <c r="R251" i="1"/>
  <c r="Q251" i="1"/>
  <c r="P251" i="1"/>
  <c r="O251" i="1"/>
  <c r="N251" i="1"/>
  <c r="T250" i="1"/>
  <c r="S250" i="1"/>
  <c r="R250" i="1"/>
  <c r="Q250" i="1"/>
  <c r="P250" i="1"/>
  <c r="O250" i="1"/>
  <c r="N250" i="1"/>
  <c r="T249" i="1"/>
  <c r="S249" i="1"/>
  <c r="R249" i="1"/>
  <c r="Q249" i="1"/>
  <c r="P249" i="1"/>
  <c r="O249" i="1"/>
  <c r="N249" i="1"/>
  <c r="T248" i="1"/>
  <c r="S248" i="1"/>
  <c r="R248" i="1"/>
  <c r="Q248" i="1"/>
  <c r="P248" i="1"/>
  <c r="O248" i="1"/>
  <c r="N248" i="1"/>
  <c r="T247" i="1"/>
  <c r="S247" i="1"/>
  <c r="R247" i="1"/>
  <c r="Q247" i="1"/>
  <c r="P247" i="1"/>
  <c r="O247" i="1"/>
  <c r="N247" i="1"/>
  <c r="T246" i="1"/>
  <c r="S246" i="1"/>
  <c r="R246" i="1"/>
  <c r="Q246" i="1"/>
  <c r="P246" i="1"/>
  <c r="O246" i="1"/>
  <c r="N246" i="1"/>
  <c r="T245" i="1"/>
  <c r="S245" i="1"/>
  <c r="R245" i="1"/>
  <c r="Q245" i="1"/>
  <c r="P245" i="1"/>
  <c r="O245" i="1"/>
  <c r="N245" i="1"/>
  <c r="T244" i="1"/>
  <c r="S244" i="1"/>
  <c r="R244" i="1"/>
  <c r="Q244" i="1"/>
  <c r="P244" i="1"/>
  <c r="O244" i="1"/>
  <c r="N244" i="1"/>
  <c r="T243" i="1"/>
  <c r="S243" i="1"/>
  <c r="R243" i="1"/>
  <c r="Q243" i="1"/>
  <c r="P243" i="1"/>
  <c r="O243" i="1"/>
  <c r="N243" i="1"/>
  <c r="T242" i="1"/>
  <c r="S242" i="1"/>
  <c r="R242" i="1"/>
  <c r="Q242" i="1"/>
  <c r="P242" i="1"/>
  <c r="O242" i="1"/>
  <c r="N242" i="1"/>
  <c r="T241" i="1"/>
  <c r="S241" i="1"/>
  <c r="R241" i="1"/>
  <c r="Q241" i="1"/>
  <c r="P241" i="1"/>
  <c r="O241" i="1"/>
  <c r="N241" i="1"/>
  <c r="T240" i="1"/>
  <c r="S240" i="1"/>
  <c r="R240" i="1"/>
  <c r="Q240" i="1"/>
  <c r="P240" i="1"/>
  <c r="O240" i="1"/>
  <c r="N240" i="1"/>
  <c r="T239" i="1"/>
  <c r="S239" i="1"/>
  <c r="R239" i="1"/>
  <c r="Q239" i="1"/>
  <c r="P239" i="1"/>
  <c r="O239" i="1"/>
  <c r="N239" i="1"/>
  <c r="T238" i="1"/>
  <c r="S238" i="1"/>
  <c r="R238" i="1"/>
  <c r="Q238" i="1"/>
  <c r="P238" i="1"/>
  <c r="O238" i="1"/>
  <c r="N238" i="1"/>
  <c r="T237" i="1"/>
  <c r="S237" i="1"/>
  <c r="R237" i="1"/>
  <c r="Q237" i="1"/>
  <c r="P237" i="1"/>
  <c r="O237" i="1"/>
  <c r="N237" i="1"/>
  <c r="T236" i="1"/>
  <c r="S236" i="1"/>
  <c r="R236" i="1"/>
  <c r="Q236" i="1"/>
  <c r="P236" i="1"/>
  <c r="O236" i="1"/>
  <c r="N236" i="1"/>
  <c r="T235" i="1"/>
  <c r="S235" i="1"/>
  <c r="R235" i="1"/>
  <c r="Q235" i="1"/>
  <c r="P235" i="1"/>
  <c r="O235" i="1"/>
  <c r="N235" i="1"/>
  <c r="T234" i="1"/>
  <c r="S234" i="1"/>
  <c r="R234" i="1"/>
  <c r="Q234" i="1"/>
  <c r="P234" i="1"/>
  <c r="O234" i="1"/>
  <c r="N234" i="1"/>
  <c r="T233" i="1"/>
  <c r="S233" i="1"/>
  <c r="R233" i="1"/>
  <c r="Q233" i="1"/>
  <c r="P233" i="1"/>
  <c r="O233" i="1"/>
  <c r="N233" i="1"/>
  <c r="T232" i="1"/>
  <c r="S232" i="1"/>
  <c r="R232" i="1"/>
  <c r="Q232" i="1"/>
  <c r="P232" i="1"/>
  <c r="O232" i="1"/>
  <c r="N232" i="1"/>
  <c r="T231" i="1"/>
  <c r="S231" i="1"/>
  <c r="R231" i="1"/>
  <c r="Q231" i="1"/>
  <c r="P231" i="1"/>
  <c r="O231" i="1"/>
  <c r="N231" i="1"/>
  <c r="T230" i="1"/>
  <c r="S230" i="1"/>
  <c r="R230" i="1"/>
  <c r="Q230" i="1"/>
  <c r="P230" i="1"/>
  <c r="O230" i="1"/>
  <c r="N230" i="1"/>
  <c r="T229" i="1"/>
  <c r="S229" i="1"/>
  <c r="R229" i="1"/>
  <c r="Q229" i="1"/>
  <c r="P229" i="1"/>
  <c r="O229" i="1"/>
  <c r="N229" i="1"/>
  <c r="T228" i="1"/>
  <c r="S228" i="1"/>
  <c r="R228" i="1"/>
  <c r="Q228" i="1"/>
  <c r="P228" i="1"/>
  <c r="O228" i="1"/>
  <c r="N228" i="1"/>
  <c r="T227" i="1"/>
  <c r="S227" i="1"/>
  <c r="R227" i="1"/>
  <c r="Q227" i="1"/>
  <c r="P227" i="1"/>
  <c r="O227" i="1"/>
  <c r="N227" i="1"/>
  <c r="T226" i="1"/>
  <c r="S226" i="1"/>
  <c r="R226" i="1"/>
  <c r="Q226" i="1"/>
  <c r="P226" i="1"/>
  <c r="O226" i="1"/>
  <c r="N226" i="1"/>
  <c r="T225" i="1"/>
  <c r="S225" i="1"/>
  <c r="R225" i="1"/>
  <c r="Q225" i="1"/>
  <c r="P225" i="1"/>
  <c r="O225" i="1"/>
  <c r="N225" i="1"/>
  <c r="T224" i="1"/>
  <c r="S224" i="1"/>
  <c r="R224" i="1"/>
  <c r="Q224" i="1"/>
  <c r="P224" i="1"/>
  <c r="O224" i="1"/>
  <c r="N224" i="1"/>
  <c r="T223" i="1"/>
  <c r="S223" i="1"/>
  <c r="R223" i="1"/>
  <c r="Q223" i="1"/>
  <c r="P223" i="1"/>
  <c r="O223" i="1"/>
  <c r="N223" i="1"/>
  <c r="T222" i="1"/>
  <c r="S222" i="1"/>
  <c r="R222" i="1"/>
  <c r="Q222" i="1"/>
  <c r="P222" i="1"/>
  <c r="O222" i="1"/>
  <c r="N222" i="1"/>
  <c r="T221" i="1"/>
  <c r="S221" i="1"/>
  <c r="R221" i="1"/>
  <c r="Q221" i="1"/>
  <c r="P221" i="1"/>
  <c r="O221" i="1"/>
  <c r="N221" i="1"/>
  <c r="T220" i="1"/>
  <c r="S220" i="1"/>
  <c r="R220" i="1"/>
  <c r="Q220" i="1"/>
  <c r="P220" i="1"/>
  <c r="O220" i="1"/>
  <c r="N220" i="1"/>
  <c r="T219" i="1"/>
  <c r="S219" i="1"/>
  <c r="R219" i="1"/>
  <c r="Q219" i="1"/>
  <c r="P219" i="1"/>
  <c r="O219" i="1"/>
  <c r="N219" i="1"/>
  <c r="T218" i="1"/>
  <c r="S218" i="1"/>
  <c r="R218" i="1"/>
  <c r="Q218" i="1"/>
  <c r="P218" i="1"/>
  <c r="O218" i="1"/>
  <c r="N218" i="1"/>
  <c r="T217" i="1"/>
  <c r="S217" i="1"/>
  <c r="R217" i="1"/>
  <c r="Q217" i="1"/>
  <c r="P217" i="1"/>
  <c r="O217" i="1"/>
  <c r="N217" i="1"/>
  <c r="T216" i="1"/>
  <c r="S216" i="1"/>
  <c r="R216" i="1"/>
  <c r="Q216" i="1"/>
  <c r="P216" i="1"/>
  <c r="O216" i="1"/>
  <c r="N216" i="1"/>
  <c r="T215" i="1"/>
  <c r="S215" i="1"/>
  <c r="R215" i="1"/>
  <c r="Q215" i="1"/>
  <c r="P215" i="1"/>
  <c r="O215" i="1"/>
  <c r="N215" i="1"/>
  <c r="T214" i="1"/>
  <c r="S214" i="1"/>
  <c r="R214" i="1"/>
  <c r="Q214" i="1"/>
  <c r="P214" i="1"/>
  <c r="O214" i="1"/>
  <c r="N214" i="1"/>
  <c r="T213" i="1"/>
  <c r="S213" i="1"/>
  <c r="R213" i="1"/>
  <c r="Q213" i="1"/>
  <c r="P213" i="1"/>
  <c r="O213" i="1"/>
  <c r="N213" i="1"/>
  <c r="T212" i="1"/>
  <c r="S212" i="1"/>
  <c r="R212" i="1"/>
  <c r="Q212" i="1"/>
  <c r="P212" i="1"/>
  <c r="O212" i="1"/>
  <c r="N212" i="1"/>
  <c r="T211" i="1"/>
  <c r="S211" i="1"/>
  <c r="R211" i="1"/>
  <c r="Q211" i="1"/>
  <c r="P211" i="1"/>
  <c r="O211" i="1"/>
  <c r="N211" i="1"/>
  <c r="T210" i="1"/>
  <c r="S210" i="1"/>
  <c r="R210" i="1"/>
  <c r="Q210" i="1"/>
  <c r="P210" i="1"/>
  <c r="O210" i="1"/>
  <c r="N210" i="1"/>
  <c r="T209" i="1"/>
  <c r="S209" i="1"/>
  <c r="R209" i="1"/>
  <c r="Q209" i="1"/>
  <c r="P209" i="1"/>
  <c r="O209" i="1"/>
  <c r="N209" i="1"/>
  <c r="T208" i="1"/>
  <c r="S208" i="1"/>
  <c r="R208" i="1"/>
  <c r="Q208" i="1"/>
  <c r="P208" i="1"/>
  <c r="O208" i="1"/>
  <c r="N208" i="1"/>
  <c r="T207" i="1"/>
  <c r="S207" i="1"/>
  <c r="R207" i="1"/>
  <c r="Q207" i="1"/>
  <c r="P207" i="1"/>
  <c r="O207" i="1"/>
  <c r="N207" i="1"/>
  <c r="T206" i="1"/>
  <c r="S206" i="1"/>
  <c r="R206" i="1"/>
  <c r="Q206" i="1"/>
  <c r="P206" i="1"/>
  <c r="O206" i="1"/>
  <c r="N206" i="1"/>
  <c r="T205" i="1"/>
  <c r="S205" i="1"/>
  <c r="R205" i="1"/>
  <c r="Q205" i="1"/>
  <c r="P205" i="1"/>
  <c r="O205" i="1"/>
  <c r="N205" i="1"/>
  <c r="T204" i="1"/>
  <c r="S204" i="1"/>
  <c r="R204" i="1"/>
  <c r="Q204" i="1"/>
  <c r="P204" i="1"/>
  <c r="O204" i="1"/>
  <c r="N204" i="1"/>
  <c r="T203" i="1"/>
  <c r="S203" i="1"/>
  <c r="R203" i="1"/>
  <c r="Q203" i="1"/>
  <c r="P203" i="1"/>
  <c r="O203" i="1"/>
  <c r="N203" i="1"/>
  <c r="T202" i="1"/>
  <c r="S202" i="1"/>
  <c r="R202" i="1"/>
  <c r="Q202" i="1"/>
  <c r="P202" i="1"/>
  <c r="O202" i="1"/>
  <c r="N202" i="1"/>
  <c r="T201" i="1"/>
  <c r="S201" i="1"/>
  <c r="R201" i="1"/>
  <c r="Q201" i="1"/>
  <c r="P201" i="1"/>
  <c r="O201" i="1"/>
  <c r="N201" i="1"/>
  <c r="T200" i="1"/>
  <c r="S200" i="1"/>
  <c r="R200" i="1"/>
  <c r="Q200" i="1"/>
  <c r="P200" i="1"/>
  <c r="O200" i="1"/>
  <c r="N200" i="1"/>
  <c r="T199" i="1"/>
  <c r="S199" i="1"/>
  <c r="R199" i="1"/>
  <c r="Q199" i="1"/>
  <c r="P199" i="1"/>
  <c r="O199" i="1"/>
  <c r="N199" i="1"/>
  <c r="T198" i="1"/>
  <c r="S198" i="1"/>
  <c r="R198" i="1"/>
  <c r="Q198" i="1"/>
  <c r="P198" i="1"/>
  <c r="O198" i="1"/>
  <c r="N198" i="1"/>
  <c r="T197" i="1"/>
  <c r="S197" i="1"/>
  <c r="R197" i="1"/>
  <c r="Q197" i="1"/>
  <c r="P197" i="1"/>
  <c r="O197" i="1"/>
  <c r="N197" i="1"/>
  <c r="T196" i="1"/>
  <c r="S196" i="1"/>
  <c r="R196" i="1"/>
  <c r="Q196" i="1"/>
  <c r="P196" i="1"/>
  <c r="O196" i="1"/>
  <c r="N196" i="1"/>
  <c r="T195" i="1"/>
  <c r="S195" i="1"/>
  <c r="R195" i="1"/>
  <c r="Q195" i="1"/>
  <c r="P195" i="1"/>
  <c r="O195" i="1"/>
  <c r="N195" i="1"/>
  <c r="T194" i="1"/>
  <c r="S194" i="1"/>
  <c r="R194" i="1"/>
  <c r="Q194" i="1"/>
  <c r="P194" i="1"/>
  <c r="O194" i="1"/>
  <c r="N194" i="1"/>
  <c r="T193" i="1"/>
  <c r="S193" i="1"/>
  <c r="R193" i="1"/>
  <c r="Q193" i="1"/>
  <c r="P193" i="1"/>
  <c r="O193" i="1"/>
  <c r="N193" i="1"/>
  <c r="T192" i="1"/>
  <c r="S192" i="1"/>
  <c r="R192" i="1"/>
  <c r="Q192" i="1"/>
  <c r="P192" i="1"/>
  <c r="O192" i="1"/>
  <c r="N192" i="1"/>
  <c r="T191" i="1"/>
  <c r="S191" i="1"/>
  <c r="R191" i="1"/>
  <c r="Q191" i="1"/>
  <c r="P191" i="1"/>
  <c r="O191" i="1"/>
  <c r="N191" i="1"/>
  <c r="T190" i="1"/>
  <c r="S190" i="1"/>
  <c r="R190" i="1"/>
  <c r="Q190" i="1"/>
  <c r="P190" i="1"/>
  <c r="O190" i="1"/>
  <c r="N190" i="1"/>
  <c r="T189" i="1"/>
  <c r="S189" i="1"/>
  <c r="R189" i="1"/>
  <c r="Q189" i="1"/>
  <c r="P189" i="1"/>
  <c r="O189" i="1"/>
  <c r="N189" i="1"/>
  <c r="T188" i="1"/>
  <c r="S188" i="1"/>
  <c r="R188" i="1"/>
  <c r="Q188" i="1"/>
  <c r="P188" i="1"/>
  <c r="O188" i="1"/>
  <c r="N188" i="1"/>
  <c r="T187" i="1"/>
  <c r="S187" i="1"/>
  <c r="R187" i="1"/>
  <c r="Q187" i="1"/>
  <c r="P187" i="1"/>
  <c r="O187" i="1"/>
  <c r="N187" i="1"/>
  <c r="T186" i="1"/>
  <c r="S186" i="1"/>
  <c r="R186" i="1"/>
  <c r="Q186" i="1"/>
  <c r="P186" i="1"/>
  <c r="O186" i="1"/>
  <c r="N186" i="1"/>
  <c r="T185" i="1"/>
  <c r="S185" i="1"/>
  <c r="R185" i="1"/>
  <c r="Q185" i="1"/>
  <c r="P185" i="1"/>
  <c r="O185" i="1"/>
  <c r="N185" i="1"/>
  <c r="T184" i="1"/>
  <c r="S184" i="1"/>
  <c r="R184" i="1"/>
  <c r="Q184" i="1"/>
  <c r="P184" i="1"/>
  <c r="O184" i="1"/>
  <c r="N184" i="1"/>
  <c r="T183" i="1"/>
  <c r="S183" i="1"/>
  <c r="R183" i="1"/>
  <c r="Q183" i="1"/>
  <c r="P183" i="1"/>
  <c r="O183" i="1"/>
  <c r="N183" i="1"/>
  <c r="T182" i="1"/>
  <c r="S182" i="1"/>
  <c r="R182" i="1"/>
  <c r="Q182" i="1"/>
  <c r="P182" i="1"/>
  <c r="O182" i="1"/>
  <c r="N182" i="1"/>
  <c r="T181" i="1"/>
  <c r="S181" i="1"/>
  <c r="R181" i="1"/>
  <c r="Q181" i="1"/>
  <c r="P181" i="1"/>
  <c r="O181" i="1"/>
  <c r="N181" i="1"/>
  <c r="T180" i="1"/>
  <c r="S180" i="1"/>
  <c r="R180" i="1"/>
  <c r="Q180" i="1"/>
  <c r="P180" i="1"/>
  <c r="O180" i="1"/>
  <c r="N180" i="1"/>
  <c r="T179" i="1"/>
  <c r="S179" i="1"/>
  <c r="R179" i="1"/>
  <c r="Q179" i="1"/>
  <c r="P179" i="1"/>
  <c r="O179" i="1"/>
  <c r="N179" i="1"/>
  <c r="T178" i="1"/>
  <c r="S178" i="1"/>
  <c r="R178" i="1"/>
  <c r="Q178" i="1"/>
  <c r="P178" i="1"/>
  <c r="O178" i="1"/>
  <c r="N178" i="1"/>
  <c r="T177" i="1"/>
  <c r="S177" i="1"/>
  <c r="R177" i="1"/>
  <c r="Q177" i="1"/>
  <c r="P177" i="1"/>
  <c r="O177" i="1"/>
  <c r="N177" i="1"/>
  <c r="T176" i="1"/>
  <c r="S176" i="1"/>
  <c r="R176" i="1"/>
  <c r="Q176" i="1"/>
  <c r="P176" i="1"/>
  <c r="O176" i="1"/>
  <c r="N176" i="1"/>
  <c r="T175" i="1"/>
  <c r="S175" i="1"/>
  <c r="R175" i="1"/>
  <c r="Q175" i="1"/>
  <c r="P175" i="1"/>
  <c r="O175" i="1"/>
  <c r="N175" i="1"/>
  <c r="T174" i="1"/>
  <c r="S174" i="1"/>
  <c r="R174" i="1"/>
  <c r="Q174" i="1"/>
  <c r="P174" i="1"/>
  <c r="O174" i="1"/>
  <c r="N174" i="1"/>
  <c r="T173" i="1"/>
  <c r="S173" i="1"/>
  <c r="R173" i="1"/>
  <c r="Q173" i="1"/>
  <c r="P173" i="1"/>
  <c r="O173" i="1"/>
  <c r="N173" i="1"/>
  <c r="T172" i="1"/>
  <c r="S172" i="1"/>
  <c r="R172" i="1"/>
  <c r="Q172" i="1"/>
  <c r="P172" i="1"/>
  <c r="O172" i="1"/>
  <c r="N172" i="1"/>
  <c r="T171" i="1"/>
  <c r="S171" i="1"/>
  <c r="R171" i="1"/>
  <c r="Q171" i="1"/>
  <c r="P171" i="1"/>
  <c r="O171" i="1"/>
  <c r="N171" i="1"/>
  <c r="T170" i="1"/>
  <c r="S170" i="1"/>
  <c r="R170" i="1"/>
  <c r="Q170" i="1"/>
  <c r="P170" i="1"/>
  <c r="O170" i="1"/>
  <c r="N170" i="1"/>
  <c r="T169" i="1"/>
  <c r="S169" i="1"/>
  <c r="R169" i="1"/>
  <c r="Q169" i="1"/>
  <c r="P169" i="1"/>
  <c r="O169" i="1"/>
  <c r="N169" i="1"/>
  <c r="T168" i="1"/>
  <c r="S168" i="1"/>
  <c r="R168" i="1"/>
  <c r="Q168" i="1"/>
  <c r="P168" i="1"/>
  <c r="O168" i="1"/>
  <c r="N168" i="1"/>
  <c r="T167" i="1"/>
  <c r="S167" i="1"/>
  <c r="R167" i="1"/>
  <c r="Q167" i="1"/>
  <c r="P167" i="1"/>
  <c r="O167" i="1"/>
  <c r="N167" i="1"/>
  <c r="T166" i="1"/>
  <c r="S166" i="1"/>
  <c r="R166" i="1"/>
  <c r="Q166" i="1"/>
  <c r="P166" i="1"/>
  <c r="O166" i="1"/>
  <c r="N166" i="1"/>
  <c r="T165" i="1"/>
  <c r="S165" i="1"/>
  <c r="R165" i="1"/>
  <c r="Q165" i="1"/>
  <c r="P165" i="1"/>
  <c r="O165" i="1"/>
  <c r="N165" i="1"/>
  <c r="T164" i="1"/>
  <c r="S164" i="1"/>
  <c r="R164" i="1"/>
  <c r="Q164" i="1"/>
  <c r="P164" i="1"/>
  <c r="O164" i="1"/>
  <c r="N164" i="1"/>
  <c r="T163" i="1"/>
  <c r="S163" i="1"/>
  <c r="R163" i="1"/>
  <c r="Q163" i="1"/>
  <c r="P163" i="1"/>
  <c r="O163" i="1"/>
  <c r="N163" i="1"/>
  <c r="T162" i="1"/>
  <c r="S162" i="1"/>
  <c r="R162" i="1"/>
  <c r="Q162" i="1"/>
  <c r="P162" i="1"/>
  <c r="O162" i="1"/>
  <c r="N162" i="1"/>
  <c r="T161" i="1"/>
  <c r="S161" i="1"/>
  <c r="R161" i="1"/>
  <c r="Q161" i="1"/>
  <c r="P161" i="1"/>
  <c r="O161" i="1"/>
  <c r="N161" i="1"/>
  <c r="T160" i="1"/>
  <c r="S160" i="1"/>
  <c r="R160" i="1"/>
  <c r="Q160" i="1"/>
  <c r="P160" i="1"/>
  <c r="O160" i="1"/>
  <c r="N160" i="1"/>
  <c r="T159" i="1"/>
  <c r="S159" i="1"/>
  <c r="R159" i="1"/>
  <c r="Q159" i="1"/>
  <c r="P159" i="1"/>
  <c r="O159" i="1"/>
  <c r="N159" i="1"/>
  <c r="T158" i="1"/>
  <c r="S158" i="1"/>
  <c r="R158" i="1"/>
  <c r="Q158" i="1"/>
  <c r="P158" i="1"/>
  <c r="O158" i="1"/>
  <c r="N158" i="1"/>
  <c r="T157" i="1"/>
  <c r="S157" i="1"/>
  <c r="R157" i="1"/>
  <c r="Q157" i="1"/>
  <c r="P157" i="1"/>
  <c r="O157" i="1"/>
  <c r="N157" i="1"/>
  <c r="T156" i="1"/>
  <c r="S156" i="1"/>
  <c r="R156" i="1"/>
  <c r="Q156" i="1"/>
  <c r="P156" i="1"/>
  <c r="O156" i="1"/>
  <c r="N156" i="1"/>
  <c r="T155" i="1"/>
  <c r="S155" i="1"/>
  <c r="R155" i="1"/>
  <c r="Q155" i="1"/>
  <c r="P155" i="1"/>
  <c r="O155" i="1"/>
  <c r="N155" i="1"/>
  <c r="T154" i="1"/>
  <c r="S154" i="1"/>
  <c r="R154" i="1"/>
  <c r="Q154" i="1"/>
  <c r="P154" i="1"/>
  <c r="O154" i="1"/>
  <c r="N154" i="1"/>
  <c r="T153" i="1"/>
  <c r="S153" i="1"/>
  <c r="R153" i="1"/>
  <c r="Q153" i="1"/>
  <c r="P153" i="1"/>
  <c r="O153" i="1"/>
  <c r="N153" i="1"/>
  <c r="T152" i="1"/>
  <c r="S152" i="1"/>
  <c r="R152" i="1"/>
  <c r="Q152" i="1"/>
  <c r="P152" i="1"/>
  <c r="O152" i="1"/>
  <c r="N152" i="1"/>
  <c r="T151" i="1"/>
  <c r="S151" i="1"/>
  <c r="R151" i="1"/>
  <c r="Q151" i="1"/>
  <c r="P151" i="1"/>
  <c r="O151" i="1"/>
  <c r="N151" i="1"/>
  <c r="T150" i="1"/>
  <c r="S150" i="1"/>
  <c r="R150" i="1"/>
  <c r="Q150" i="1"/>
  <c r="P150" i="1"/>
  <c r="O150" i="1"/>
  <c r="N150" i="1"/>
  <c r="T149" i="1"/>
  <c r="S149" i="1"/>
  <c r="R149" i="1"/>
  <c r="Q149" i="1"/>
  <c r="P149" i="1"/>
  <c r="O149" i="1"/>
  <c r="N149" i="1"/>
  <c r="T148" i="1"/>
  <c r="S148" i="1"/>
  <c r="R148" i="1"/>
  <c r="Q148" i="1"/>
  <c r="P148" i="1"/>
  <c r="O148" i="1"/>
  <c r="N148" i="1"/>
  <c r="T147" i="1"/>
  <c r="S147" i="1"/>
  <c r="R147" i="1"/>
  <c r="Q147" i="1"/>
  <c r="P147" i="1"/>
  <c r="O147" i="1"/>
  <c r="N147" i="1"/>
  <c r="T146" i="1"/>
  <c r="S146" i="1"/>
  <c r="R146" i="1"/>
  <c r="Q146" i="1"/>
  <c r="P146" i="1"/>
  <c r="O146" i="1"/>
  <c r="N146" i="1"/>
  <c r="T145" i="1"/>
  <c r="S145" i="1"/>
  <c r="R145" i="1"/>
  <c r="Q145" i="1"/>
  <c r="P145" i="1"/>
  <c r="O145" i="1"/>
  <c r="N145" i="1"/>
  <c r="T144" i="1"/>
  <c r="S144" i="1"/>
  <c r="R144" i="1"/>
  <c r="Q144" i="1"/>
  <c r="P144" i="1"/>
  <c r="O144" i="1"/>
  <c r="N144" i="1"/>
  <c r="T143" i="1"/>
  <c r="S143" i="1"/>
  <c r="R143" i="1"/>
  <c r="Q143" i="1"/>
  <c r="P143" i="1"/>
  <c r="O143" i="1"/>
  <c r="N143" i="1"/>
  <c r="T142" i="1"/>
  <c r="S142" i="1"/>
  <c r="R142" i="1"/>
  <c r="Q142" i="1"/>
  <c r="P142" i="1"/>
  <c r="O142" i="1"/>
  <c r="N142" i="1"/>
  <c r="T141" i="1"/>
  <c r="S141" i="1"/>
  <c r="R141" i="1"/>
  <c r="Q141" i="1"/>
  <c r="P141" i="1"/>
  <c r="O141" i="1"/>
  <c r="N141" i="1"/>
  <c r="T140" i="1"/>
  <c r="S140" i="1"/>
  <c r="R140" i="1"/>
  <c r="Q140" i="1"/>
  <c r="P140" i="1"/>
  <c r="O140" i="1"/>
  <c r="N140" i="1"/>
  <c r="T139" i="1"/>
  <c r="S139" i="1"/>
  <c r="R139" i="1"/>
  <c r="Q139" i="1"/>
  <c r="P139" i="1"/>
  <c r="O139" i="1"/>
  <c r="N139" i="1"/>
  <c r="T138" i="1"/>
  <c r="S138" i="1"/>
  <c r="R138" i="1"/>
  <c r="Q138" i="1"/>
  <c r="P138" i="1"/>
  <c r="O138" i="1"/>
  <c r="N138" i="1"/>
  <c r="T137" i="1"/>
  <c r="S137" i="1"/>
  <c r="R137" i="1"/>
  <c r="Q137" i="1"/>
  <c r="P137" i="1"/>
  <c r="O137" i="1"/>
  <c r="N137" i="1"/>
  <c r="T136" i="1"/>
  <c r="S136" i="1"/>
  <c r="R136" i="1"/>
  <c r="Q136" i="1"/>
  <c r="P136" i="1"/>
  <c r="O136" i="1"/>
  <c r="N136" i="1"/>
  <c r="T135" i="1"/>
  <c r="S135" i="1"/>
  <c r="R135" i="1"/>
  <c r="Q135" i="1"/>
  <c r="P135" i="1"/>
  <c r="O135" i="1"/>
  <c r="N135" i="1"/>
  <c r="T134" i="1"/>
  <c r="S134" i="1"/>
  <c r="R134" i="1"/>
  <c r="Q134" i="1"/>
  <c r="P134" i="1"/>
  <c r="O134" i="1"/>
  <c r="N134" i="1"/>
  <c r="T133" i="1"/>
  <c r="S133" i="1"/>
  <c r="R133" i="1"/>
  <c r="Q133" i="1"/>
  <c r="P133" i="1"/>
  <c r="O133" i="1"/>
  <c r="N133" i="1"/>
  <c r="T132" i="1"/>
  <c r="S132" i="1"/>
  <c r="R132" i="1"/>
  <c r="Q132" i="1"/>
  <c r="P132" i="1"/>
  <c r="O132" i="1"/>
  <c r="N132" i="1"/>
  <c r="T131" i="1"/>
  <c r="S131" i="1"/>
  <c r="R131" i="1"/>
  <c r="Q131" i="1"/>
  <c r="P131" i="1"/>
  <c r="O131" i="1"/>
  <c r="N131" i="1"/>
  <c r="T130" i="1"/>
  <c r="S130" i="1"/>
  <c r="R130" i="1"/>
  <c r="Q130" i="1"/>
  <c r="P130" i="1"/>
  <c r="O130" i="1"/>
  <c r="N130" i="1"/>
  <c r="T129" i="1"/>
  <c r="S129" i="1"/>
  <c r="R129" i="1"/>
  <c r="Q129" i="1"/>
  <c r="P129" i="1"/>
  <c r="O129" i="1"/>
  <c r="N129" i="1"/>
  <c r="T128" i="1"/>
  <c r="S128" i="1"/>
  <c r="R128" i="1"/>
  <c r="Q128" i="1"/>
  <c r="P128" i="1"/>
  <c r="O128" i="1"/>
  <c r="N128" i="1"/>
  <c r="T127" i="1"/>
  <c r="S127" i="1"/>
  <c r="R127" i="1"/>
  <c r="Q127" i="1"/>
  <c r="P127" i="1"/>
  <c r="O127" i="1"/>
  <c r="N127" i="1"/>
  <c r="T126" i="1"/>
  <c r="S126" i="1"/>
  <c r="R126" i="1"/>
  <c r="Q126" i="1"/>
  <c r="P126" i="1"/>
  <c r="O126" i="1"/>
  <c r="N126" i="1"/>
  <c r="T125" i="1"/>
  <c r="S125" i="1"/>
  <c r="R125" i="1"/>
  <c r="Q125" i="1"/>
  <c r="P125" i="1"/>
  <c r="O125" i="1"/>
  <c r="N125" i="1"/>
  <c r="T124" i="1"/>
  <c r="S124" i="1"/>
  <c r="R124" i="1"/>
  <c r="Q124" i="1"/>
  <c r="P124" i="1"/>
  <c r="O124" i="1"/>
  <c r="N124" i="1"/>
  <c r="T123" i="1"/>
  <c r="S123" i="1"/>
  <c r="R123" i="1"/>
  <c r="Q123" i="1"/>
  <c r="P123" i="1"/>
  <c r="O123" i="1"/>
  <c r="N123" i="1"/>
  <c r="T122" i="1"/>
  <c r="S122" i="1"/>
  <c r="R122" i="1"/>
  <c r="Q122" i="1"/>
  <c r="P122" i="1"/>
  <c r="O122" i="1"/>
  <c r="N122" i="1"/>
  <c r="T121" i="1"/>
  <c r="S121" i="1"/>
  <c r="R121" i="1"/>
  <c r="Q121" i="1"/>
  <c r="P121" i="1"/>
  <c r="O121" i="1"/>
  <c r="N121" i="1"/>
  <c r="T120" i="1"/>
  <c r="S120" i="1"/>
  <c r="R120" i="1"/>
  <c r="Q120" i="1"/>
  <c r="P120" i="1"/>
  <c r="O120" i="1"/>
  <c r="N120" i="1"/>
  <c r="T119" i="1"/>
  <c r="S119" i="1"/>
  <c r="R119" i="1"/>
  <c r="Q119" i="1"/>
  <c r="P119" i="1"/>
  <c r="O119" i="1"/>
  <c r="N119" i="1"/>
  <c r="T118" i="1"/>
  <c r="S118" i="1"/>
  <c r="R118" i="1"/>
  <c r="Q118" i="1"/>
  <c r="P118" i="1"/>
  <c r="O118" i="1"/>
  <c r="N118" i="1"/>
  <c r="T117" i="1"/>
  <c r="S117" i="1"/>
  <c r="R117" i="1"/>
  <c r="Q117" i="1"/>
  <c r="P117" i="1"/>
  <c r="O117" i="1"/>
  <c r="N117" i="1"/>
  <c r="T116" i="1"/>
  <c r="S116" i="1"/>
  <c r="R116" i="1"/>
  <c r="Q116" i="1"/>
  <c r="P116" i="1"/>
  <c r="O116" i="1"/>
  <c r="N116" i="1"/>
  <c r="T115" i="1"/>
  <c r="S115" i="1"/>
  <c r="R115" i="1"/>
  <c r="Q115" i="1"/>
  <c r="P115" i="1"/>
  <c r="O115" i="1"/>
  <c r="N115" i="1"/>
  <c r="T114" i="1"/>
  <c r="S114" i="1"/>
  <c r="R114" i="1"/>
  <c r="Q114" i="1"/>
  <c r="P114" i="1"/>
  <c r="O114" i="1"/>
  <c r="N114" i="1"/>
  <c r="T113" i="1"/>
  <c r="S113" i="1"/>
  <c r="R113" i="1"/>
  <c r="Q113" i="1"/>
  <c r="P113" i="1"/>
  <c r="O113" i="1"/>
  <c r="N113" i="1"/>
  <c r="T112" i="1"/>
  <c r="S112" i="1"/>
  <c r="R112" i="1"/>
  <c r="Q112" i="1"/>
  <c r="P112" i="1"/>
  <c r="O112" i="1"/>
  <c r="N112" i="1"/>
  <c r="T111" i="1"/>
  <c r="S111" i="1"/>
  <c r="R111" i="1"/>
  <c r="Q111" i="1"/>
  <c r="P111" i="1"/>
  <c r="O111" i="1"/>
  <c r="N111" i="1"/>
  <c r="T110" i="1"/>
  <c r="S110" i="1"/>
  <c r="R110" i="1"/>
  <c r="Q110" i="1"/>
  <c r="P110" i="1"/>
  <c r="O110" i="1"/>
  <c r="N110" i="1"/>
  <c r="T109" i="1"/>
  <c r="S109" i="1"/>
  <c r="R109" i="1"/>
  <c r="Q109" i="1"/>
  <c r="P109" i="1"/>
  <c r="O109" i="1"/>
  <c r="N109" i="1"/>
  <c r="T108" i="1"/>
  <c r="S108" i="1"/>
  <c r="R108" i="1"/>
  <c r="Q108" i="1"/>
  <c r="P108" i="1"/>
  <c r="O108" i="1"/>
  <c r="N108" i="1"/>
  <c r="T107" i="1"/>
  <c r="S107" i="1"/>
  <c r="R107" i="1"/>
  <c r="Q107" i="1"/>
  <c r="P107" i="1"/>
  <c r="O107" i="1"/>
  <c r="N107" i="1"/>
  <c r="T106" i="1"/>
  <c r="S106" i="1"/>
  <c r="R106" i="1"/>
  <c r="Q106" i="1"/>
  <c r="P106" i="1"/>
  <c r="O106" i="1"/>
  <c r="N106" i="1"/>
  <c r="T105" i="1"/>
  <c r="S105" i="1"/>
  <c r="R105" i="1"/>
  <c r="Q105" i="1"/>
  <c r="P105" i="1"/>
  <c r="O105" i="1"/>
  <c r="N105" i="1"/>
  <c r="T104" i="1"/>
  <c r="S104" i="1"/>
  <c r="R104" i="1"/>
  <c r="Q104" i="1"/>
  <c r="P104" i="1"/>
  <c r="O104" i="1"/>
  <c r="N104" i="1"/>
  <c r="T103" i="1"/>
  <c r="S103" i="1"/>
  <c r="R103" i="1"/>
  <c r="Q103" i="1"/>
  <c r="P103" i="1"/>
  <c r="O103" i="1"/>
  <c r="N103" i="1"/>
  <c r="T102" i="1"/>
  <c r="S102" i="1"/>
  <c r="R102" i="1"/>
  <c r="Q102" i="1"/>
  <c r="P102" i="1"/>
  <c r="O102" i="1"/>
  <c r="N102" i="1"/>
  <c r="T101" i="1"/>
  <c r="S101" i="1"/>
  <c r="R101" i="1"/>
  <c r="Q101" i="1"/>
  <c r="P101" i="1"/>
  <c r="O101" i="1"/>
  <c r="N101" i="1"/>
  <c r="T100" i="1"/>
  <c r="S100" i="1"/>
  <c r="R100" i="1"/>
  <c r="Q100" i="1"/>
  <c r="P100" i="1"/>
  <c r="O100" i="1"/>
  <c r="N100" i="1"/>
  <c r="T99" i="1"/>
  <c r="S99" i="1"/>
  <c r="R99" i="1"/>
  <c r="Q99" i="1"/>
  <c r="P99" i="1"/>
  <c r="O99" i="1"/>
  <c r="N99" i="1"/>
  <c r="T98" i="1"/>
  <c r="S98" i="1"/>
  <c r="R98" i="1"/>
  <c r="Q98" i="1"/>
  <c r="P98" i="1"/>
  <c r="O98" i="1"/>
  <c r="N98" i="1"/>
  <c r="T97" i="1"/>
  <c r="S97" i="1"/>
  <c r="R97" i="1"/>
  <c r="Q97" i="1"/>
  <c r="P97" i="1"/>
  <c r="O97" i="1"/>
  <c r="N97" i="1"/>
  <c r="T96" i="1"/>
  <c r="S96" i="1"/>
  <c r="R96" i="1"/>
  <c r="Q96" i="1"/>
  <c r="P96" i="1"/>
  <c r="O96" i="1"/>
  <c r="N96" i="1"/>
  <c r="T95" i="1"/>
  <c r="S95" i="1"/>
  <c r="R95" i="1"/>
  <c r="Q95" i="1"/>
  <c r="P95" i="1"/>
  <c r="O95" i="1"/>
  <c r="N95" i="1"/>
  <c r="T94" i="1"/>
  <c r="S94" i="1"/>
  <c r="R94" i="1"/>
  <c r="Q94" i="1"/>
  <c r="P94" i="1"/>
  <c r="O94" i="1"/>
  <c r="N94" i="1"/>
  <c r="T93" i="1"/>
  <c r="S93" i="1"/>
  <c r="R93" i="1"/>
  <c r="Q93" i="1"/>
  <c r="P93" i="1"/>
  <c r="O93" i="1"/>
  <c r="N93" i="1"/>
  <c r="T92" i="1"/>
  <c r="S92" i="1"/>
  <c r="R92" i="1"/>
  <c r="Q92" i="1"/>
  <c r="P92" i="1"/>
  <c r="O92" i="1"/>
  <c r="N92" i="1"/>
  <c r="T91" i="1"/>
  <c r="S91" i="1"/>
  <c r="R91" i="1"/>
  <c r="Q91" i="1"/>
  <c r="P91" i="1"/>
  <c r="O91" i="1"/>
  <c r="N91" i="1"/>
  <c r="T90" i="1"/>
  <c r="S90" i="1"/>
  <c r="R90" i="1"/>
  <c r="Q90" i="1"/>
  <c r="P90" i="1"/>
  <c r="O90" i="1"/>
  <c r="N90" i="1"/>
  <c r="T89" i="1"/>
  <c r="S89" i="1"/>
  <c r="R89" i="1"/>
  <c r="Q89" i="1"/>
  <c r="P89" i="1"/>
  <c r="O89" i="1"/>
  <c r="N89" i="1"/>
  <c r="T88" i="1"/>
  <c r="S88" i="1"/>
  <c r="R88" i="1"/>
  <c r="Q88" i="1"/>
  <c r="P88" i="1"/>
  <c r="O88" i="1"/>
  <c r="N88" i="1"/>
  <c r="T87" i="1"/>
  <c r="S87" i="1"/>
  <c r="R87" i="1"/>
  <c r="Q87" i="1"/>
  <c r="P87" i="1"/>
  <c r="O87" i="1"/>
  <c r="N87" i="1"/>
  <c r="T86" i="1"/>
  <c r="S86" i="1"/>
  <c r="R86" i="1"/>
  <c r="Q86" i="1"/>
  <c r="P86" i="1"/>
  <c r="O86" i="1"/>
  <c r="N86" i="1"/>
  <c r="T85" i="1"/>
  <c r="S85" i="1"/>
  <c r="R85" i="1"/>
  <c r="Q85" i="1"/>
  <c r="P85" i="1"/>
  <c r="O85" i="1"/>
  <c r="N85" i="1"/>
  <c r="T84" i="1"/>
  <c r="S84" i="1"/>
  <c r="R84" i="1"/>
  <c r="Q84" i="1"/>
  <c r="P84" i="1"/>
  <c r="O84" i="1"/>
  <c r="N84" i="1"/>
  <c r="T83" i="1"/>
  <c r="S83" i="1"/>
  <c r="R83" i="1"/>
  <c r="Q83" i="1"/>
  <c r="P83" i="1"/>
  <c r="O83" i="1"/>
  <c r="N83" i="1"/>
  <c r="T82" i="1"/>
  <c r="S82" i="1"/>
  <c r="R82" i="1"/>
  <c r="Q82" i="1"/>
  <c r="P82" i="1"/>
  <c r="O82" i="1"/>
  <c r="N82" i="1"/>
  <c r="T81" i="1"/>
  <c r="S81" i="1"/>
  <c r="R81" i="1"/>
  <c r="Q81" i="1"/>
  <c r="P81" i="1"/>
  <c r="O81" i="1"/>
  <c r="N81" i="1"/>
  <c r="T80" i="1"/>
  <c r="S80" i="1"/>
  <c r="R80" i="1"/>
  <c r="Q80" i="1"/>
  <c r="P80" i="1"/>
  <c r="O80" i="1"/>
  <c r="N80" i="1"/>
  <c r="T79" i="1"/>
  <c r="S79" i="1"/>
  <c r="R79" i="1"/>
  <c r="Q79" i="1"/>
  <c r="P79" i="1"/>
  <c r="O79" i="1"/>
  <c r="N79" i="1"/>
  <c r="T78" i="1"/>
  <c r="S78" i="1"/>
  <c r="R78" i="1"/>
  <c r="Q78" i="1"/>
  <c r="P78" i="1"/>
  <c r="O78" i="1"/>
  <c r="N78" i="1"/>
  <c r="T77" i="1"/>
  <c r="S77" i="1"/>
  <c r="R77" i="1"/>
  <c r="Q77" i="1"/>
  <c r="P77" i="1"/>
  <c r="O77" i="1"/>
  <c r="N77" i="1"/>
  <c r="T76" i="1"/>
  <c r="S76" i="1"/>
  <c r="R76" i="1"/>
  <c r="Q76" i="1"/>
  <c r="P76" i="1"/>
  <c r="O76" i="1"/>
  <c r="N76" i="1"/>
  <c r="T75" i="1"/>
  <c r="S75" i="1"/>
  <c r="R75" i="1"/>
  <c r="Q75" i="1"/>
  <c r="P75" i="1"/>
  <c r="O75" i="1"/>
  <c r="N75" i="1"/>
  <c r="T74" i="1"/>
  <c r="S74" i="1"/>
  <c r="R74" i="1"/>
  <c r="Q74" i="1"/>
  <c r="P74" i="1"/>
  <c r="O74" i="1"/>
  <c r="N74" i="1"/>
  <c r="T73" i="1"/>
  <c r="S73" i="1"/>
  <c r="R73" i="1"/>
  <c r="Q73" i="1"/>
  <c r="P73" i="1"/>
  <c r="O73" i="1"/>
  <c r="N73" i="1"/>
  <c r="T72" i="1"/>
  <c r="S72" i="1"/>
  <c r="R72" i="1"/>
  <c r="Q72" i="1"/>
  <c r="P72" i="1"/>
  <c r="O72" i="1"/>
  <c r="N72" i="1"/>
  <c r="T71" i="1"/>
  <c r="S71" i="1"/>
  <c r="R71" i="1"/>
  <c r="Q71" i="1"/>
  <c r="P71" i="1"/>
  <c r="O71" i="1"/>
  <c r="N71" i="1"/>
  <c r="T70" i="1"/>
  <c r="S70" i="1"/>
  <c r="R70" i="1"/>
  <c r="Q70" i="1"/>
  <c r="P70" i="1"/>
  <c r="O70" i="1"/>
  <c r="N70" i="1"/>
  <c r="T69" i="1"/>
  <c r="S69" i="1"/>
  <c r="R69" i="1"/>
  <c r="Q69" i="1"/>
  <c r="P69" i="1"/>
  <c r="O69" i="1"/>
  <c r="N69" i="1"/>
  <c r="T68" i="1"/>
  <c r="S68" i="1"/>
  <c r="R68" i="1"/>
  <c r="Q68" i="1"/>
  <c r="P68" i="1"/>
  <c r="O68" i="1"/>
  <c r="N68" i="1"/>
  <c r="T67" i="1"/>
  <c r="S67" i="1"/>
  <c r="R67" i="1"/>
  <c r="Q67" i="1"/>
  <c r="P67" i="1"/>
  <c r="O67" i="1"/>
  <c r="N67" i="1"/>
  <c r="T66" i="1"/>
  <c r="S66" i="1"/>
  <c r="R66" i="1"/>
  <c r="Q66" i="1"/>
  <c r="P66" i="1"/>
  <c r="O66" i="1"/>
  <c r="N66" i="1"/>
  <c r="T65" i="1"/>
  <c r="S65" i="1"/>
  <c r="R65" i="1"/>
  <c r="Q65" i="1"/>
  <c r="P65" i="1"/>
  <c r="O65" i="1"/>
  <c r="N65" i="1"/>
  <c r="T64" i="1"/>
  <c r="S64" i="1"/>
  <c r="R64" i="1"/>
  <c r="Q64" i="1"/>
  <c r="P64" i="1"/>
  <c r="O64" i="1"/>
  <c r="N64" i="1"/>
  <c r="T63" i="1"/>
  <c r="S63" i="1"/>
  <c r="R63" i="1"/>
  <c r="Q63" i="1"/>
  <c r="P63" i="1"/>
  <c r="O63" i="1"/>
  <c r="N63" i="1"/>
  <c r="T62" i="1"/>
  <c r="S62" i="1"/>
  <c r="R62" i="1"/>
  <c r="Q62" i="1"/>
  <c r="P62" i="1"/>
  <c r="O62" i="1"/>
  <c r="N62" i="1"/>
  <c r="T61" i="1"/>
  <c r="S61" i="1"/>
  <c r="R61" i="1"/>
  <c r="Q61" i="1"/>
  <c r="P61" i="1"/>
  <c r="O61" i="1"/>
  <c r="N61" i="1"/>
  <c r="T60" i="1"/>
  <c r="S60" i="1"/>
  <c r="R60" i="1"/>
  <c r="Q60" i="1"/>
  <c r="P60" i="1"/>
  <c r="O60" i="1"/>
  <c r="N60" i="1"/>
  <c r="T59" i="1"/>
  <c r="S59" i="1"/>
  <c r="R59" i="1"/>
  <c r="Q59" i="1"/>
  <c r="P59" i="1"/>
  <c r="O59" i="1"/>
  <c r="N59" i="1"/>
  <c r="T58" i="1"/>
  <c r="S58" i="1"/>
  <c r="R58" i="1"/>
  <c r="Q58" i="1"/>
  <c r="P58" i="1"/>
  <c r="O58" i="1"/>
  <c r="N58" i="1"/>
  <c r="T57" i="1"/>
  <c r="S57" i="1"/>
  <c r="R57" i="1"/>
  <c r="Q57" i="1"/>
  <c r="P57" i="1"/>
  <c r="O57" i="1"/>
  <c r="N57" i="1"/>
  <c r="T56" i="1"/>
  <c r="S56" i="1"/>
  <c r="R56" i="1"/>
  <c r="Q56" i="1"/>
  <c r="P56" i="1"/>
  <c r="O56" i="1"/>
  <c r="N56" i="1"/>
  <c r="T55" i="1"/>
  <c r="S55" i="1"/>
  <c r="R55" i="1"/>
  <c r="Q55" i="1"/>
  <c r="P55" i="1"/>
  <c r="O55" i="1"/>
  <c r="N55" i="1"/>
  <c r="T54" i="1"/>
  <c r="S54" i="1"/>
  <c r="R54" i="1"/>
  <c r="Q54" i="1"/>
  <c r="P54" i="1"/>
  <c r="O54" i="1"/>
  <c r="N54" i="1"/>
  <c r="T53" i="1"/>
  <c r="S53" i="1"/>
  <c r="R53" i="1"/>
  <c r="Q53" i="1"/>
  <c r="P53" i="1"/>
  <c r="O53" i="1"/>
  <c r="N53" i="1"/>
  <c r="T52" i="1"/>
  <c r="S52" i="1"/>
  <c r="R52" i="1"/>
  <c r="Q52" i="1"/>
  <c r="P52" i="1"/>
  <c r="O52" i="1"/>
  <c r="N52" i="1"/>
  <c r="T51" i="1"/>
  <c r="S51" i="1"/>
  <c r="R51" i="1"/>
  <c r="Q51" i="1"/>
  <c r="P51" i="1"/>
  <c r="O51" i="1"/>
  <c r="N51" i="1"/>
  <c r="T50" i="1"/>
  <c r="S50" i="1"/>
  <c r="R50" i="1"/>
  <c r="Q50" i="1"/>
  <c r="P50" i="1"/>
  <c r="O50" i="1"/>
  <c r="N50" i="1"/>
  <c r="T49" i="1"/>
  <c r="S49" i="1"/>
  <c r="R49" i="1"/>
  <c r="Q49" i="1"/>
  <c r="P49" i="1"/>
  <c r="O49" i="1"/>
  <c r="N49" i="1"/>
  <c r="T48" i="1"/>
  <c r="S48" i="1"/>
  <c r="R48" i="1"/>
  <c r="Q48" i="1"/>
  <c r="P48" i="1"/>
  <c r="O48" i="1"/>
  <c r="N48" i="1"/>
  <c r="T47" i="1"/>
  <c r="S47" i="1"/>
  <c r="R47" i="1"/>
  <c r="Q47" i="1"/>
  <c r="P47" i="1"/>
  <c r="O47" i="1"/>
  <c r="N47" i="1"/>
  <c r="T46" i="1"/>
  <c r="S46" i="1"/>
  <c r="R46" i="1"/>
  <c r="Q46" i="1"/>
  <c r="P46" i="1"/>
  <c r="O46" i="1"/>
  <c r="N46" i="1"/>
  <c r="T45" i="1"/>
  <c r="S45" i="1"/>
  <c r="R45" i="1"/>
  <c r="Q45" i="1"/>
  <c r="P45" i="1"/>
  <c r="O45" i="1"/>
  <c r="N45" i="1"/>
  <c r="T44" i="1"/>
  <c r="S44" i="1"/>
  <c r="R44" i="1"/>
  <c r="Q44" i="1"/>
  <c r="P44" i="1"/>
  <c r="O44" i="1"/>
  <c r="N44" i="1"/>
  <c r="T43" i="1"/>
  <c r="S43" i="1"/>
  <c r="R43" i="1"/>
  <c r="Q43" i="1"/>
  <c r="P43" i="1"/>
  <c r="O43" i="1"/>
  <c r="N43" i="1"/>
  <c r="T42" i="1"/>
  <c r="S42" i="1"/>
  <c r="R42" i="1"/>
  <c r="Q42" i="1"/>
  <c r="P42" i="1"/>
  <c r="O42" i="1"/>
  <c r="N42" i="1"/>
  <c r="T41" i="1"/>
  <c r="S41" i="1"/>
  <c r="R41" i="1"/>
  <c r="Q41" i="1"/>
  <c r="P41" i="1"/>
  <c r="O41" i="1"/>
  <c r="N41" i="1"/>
  <c r="T40" i="1"/>
  <c r="S40" i="1"/>
  <c r="R40" i="1"/>
  <c r="Q40" i="1"/>
  <c r="P40" i="1"/>
  <c r="O40" i="1"/>
  <c r="N40" i="1"/>
  <c r="T39" i="1"/>
  <c r="S39" i="1"/>
  <c r="R39" i="1"/>
  <c r="Q39" i="1"/>
  <c r="P39" i="1"/>
  <c r="O39" i="1"/>
  <c r="N39" i="1"/>
  <c r="T38" i="1"/>
  <c r="S38" i="1"/>
  <c r="R38" i="1"/>
  <c r="Q38" i="1"/>
  <c r="P38" i="1"/>
  <c r="O38" i="1"/>
  <c r="N38" i="1"/>
  <c r="T37" i="1"/>
  <c r="S37" i="1"/>
  <c r="R37" i="1"/>
  <c r="Q37" i="1"/>
  <c r="P37" i="1"/>
  <c r="O37" i="1"/>
  <c r="N37" i="1"/>
  <c r="T36" i="1"/>
  <c r="S36" i="1"/>
  <c r="R36" i="1"/>
  <c r="Q36" i="1"/>
  <c r="P36" i="1"/>
  <c r="O36" i="1"/>
  <c r="N36" i="1"/>
  <c r="T35" i="1"/>
  <c r="S35" i="1"/>
  <c r="R35" i="1"/>
  <c r="Q35" i="1"/>
  <c r="P35" i="1"/>
  <c r="O35" i="1"/>
  <c r="N35" i="1"/>
  <c r="T34" i="1"/>
  <c r="S34" i="1"/>
  <c r="R34" i="1"/>
  <c r="Q34" i="1"/>
  <c r="P34" i="1"/>
  <c r="O34" i="1"/>
  <c r="N34" i="1"/>
  <c r="T33" i="1"/>
  <c r="S33" i="1"/>
  <c r="R33" i="1"/>
  <c r="Q33" i="1"/>
  <c r="P33" i="1"/>
  <c r="O33" i="1"/>
  <c r="N33" i="1"/>
  <c r="T32" i="1"/>
  <c r="S32" i="1"/>
  <c r="R32" i="1"/>
  <c r="Q32" i="1"/>
  <c r="P32" i="1"/>
  <c r="O32" i="1"/>
  <c r="N32" i="1"/>
  <c r="T31" i="1"/>
  <c r="S31" i="1"/>
  <c r="R31" i="1"/>
  <c r="Q31" i="1"/>
  <c r="P31" i="1"/>
  <c r="O31" i="1"/>
  <c r="N31" i="1"/>
  <c r="T30" i="1"/>
  <c r="S30" i="1"/>
  <c r="R30" i="1"/>
  <c r="Q30" i="1"/>
  <c r="P30" i="1"/>
  <c r="O30" i="1"/>
  <c r="N30" i="1"/>
  <c r="T29" i="1"/>
  <c r="S29" i="1"/>
  <c r="R29" i="1"/>
  <c r="Q29" i="1"/>
  <c r="P29" i="1"/>
  <c r="O29" i="1"/>
  <c r="N29" i="1"/>
  <c r="T28" i="1"/>
  <c r="S28" i="1"/>
  <c r="R28" i="1"/>
  <c r="Q28" i="1"/>
  <c r="P28" i="1"/>
  <c r="O28" i="1"/>
  <c r="N28" i="1"/>
  <c r="T27" i="1"/>
  <c r="S27" i="1"/>
  <c r="R27" i="1"/>
  <c r="Q27" i="1"/>
  <c r="P27" i="1"/>
  <c r="O27" i="1"/>
  <c r="N27" i="1"/>
  <c r="T26" i="1"/>
  <c r="S26" i="1"/>
  <c r="R26" i="1"/>
  <c r="Q26" i="1"/>
  <c r="P26" i="1"/>
  <c r="O26" i="1"/>
  <c r="N26" i="1"/>
  <c r="T25" i="1"/>
  <c r="S25" i="1"/>
  <c r="R25" i="1"/>
  <c r="Q25" i="1"/>
  <c r="P25" i="1"/>
  <c r="O25" i="1"/>
  <c r="N25" i="1"/>
  <c r="T24" i="1"/>
  <c r="S24" i="1"/>
  <c r="R24" i="1"/>
  <c r="Q24" i="1"/>
  <c r="P24" i="1"/>
  <c r="O24" i="1"/>
  <c r="N24" i="1"/>
  <c r="T23" i="1"/>
  <c r="S23" i="1"/>
  <c r="R23" i="1"/>
  <c r="Q23" i="1"/>
  <c r="P23" i="1"/>
  <c r="O23" i="1"/>
  <c r="N23" i="1"/>
  <c r="T22" i="1"/>
  <c r="S22" i="1"/>
  <c r="R22" i="1"/>
  <c r="Q22" i="1"/>
  <c r="P22" i="1"/>
  <c r="O22" i="1"/>
  <c r="N22" i="1"/>
  <c r="T21" i="1"/>
  <c r="S21" i="1"/>
  <c r="R21" i="1"/>
  <c r="Q21" i="1"/>
  <c r="P21" i="1"/>
  <c r="O21" i="1"/>
  <c r="N21" i="1"/>
  <c r="T20" i="1"/>
  <c r="S20" i="1"/>
  <c r="R20" i="1"/>
  <c r="Q20" i="1"/>
  <c r="P20" i="1"/>
  <c r="O20" i="1"/>
  <c r="N20" i="1"/>
  <c r="T19" i="1"/>
  <c r="S19" i="1"/>
  <c r="R19" i="1"/>
  <c r="Q19" i="1"/>
  <c r="P19" i="1"/>
  <c r="O19" i="1"/>
  <c r="N19" i="1"/>
  <c r="T18" i="1"/>
  <c r="S18" i="1"/>
  <c r="R18" i="1"/>
  <c r="Q18" i="1"/>
  <c r="P18" i="1"/>
  <c r="O18" i="1"/>
  <c r="N18" i="1"/>
  <c r="T17" i="1"/>
  <c r="S17" i="1"/>
  <c r="R17" i="1"/>
  <c r="Q17" i="1"/>
  <c r="P17" i="1"/>
  <c r="O17" i="1"/>
  <c r="N17" i="1"/>
  <c r="T16" i="1"/>
  <c r="S16" i="1"/>
  <c r="R16" i="1"/>
  <c r="Q16" i="1"/>
  <c r="P16" i="1"/>
  <c r="O16" i="1"/>
  <c r="N16" i="1"/>
  <c r="T15" i="1"/>
  <c r="S15" i="1"/>
  <c r="R15" i="1"/>
  <c r="Q15" i="1"/>
  <c r="P15" i="1"/>
  <c r="O15" i="1"/>
  <c r="N15" i="1"/>
  <c r="T14" i="1"/>
  <c r="S14" i="1"/>
  <c r="R14" i="1"/>
  <c r="Q14" i="1"/>
  <c r="P14" i="1"/>
  <c r="O14" i="1"/>
  <c r="N14" i="1"/>
  <c r="T13" i="1"/>
  <c r="S13" i="1"/>
  <c r="R13" i="1"/>
  <c r="Q13" i="1"/>
  <c r="P13" i="1"/>
  <c r="O13" i="1"/>
  <c r="N13" i="1"/>
  <c r="T12" i="1"/>
  <c r="S12" i="1"/>
  <c r="R12" i="1"/>
  <c r="Q12" i="1"/>
  <c r="P12" i="1"/>
  <c r="O12" i="1"/>
  <c r="N12" i="1"/>
  <c r="T11" i="1"/>
  <c r="S11" i="1"/>
  <c r="R11" i="1"/>
  <c r="Q11" i="1"/>
  <c r="P11" i="1"/>
  <c r="O11" i="1"/>
  <c r="N11" i="1"/>
  <c r="T10" i="1"/>
  <c r="S10" i="1"/>
  <c r="R10" i="1"/>
  <c r="Q10" i="1"/>
  <c r="P10" i="1"/>
  <c r="O10" i="1"/>
  <c r="N10" i="1"/>
  <c r="T9" i="1"/>
  <c r="S9" i="1"/>
  <c r="R9" i="1"/>
  <c r="Q9" i="1"/>
  <c r="P9" i="1"/>
  <c r="O9" i="1"/>
  <c r="N9" i="1"/>
  <c r="T8" i="1"/>
  <c r="S8" i="1"/>
  <c r="R8" i="1"/>
  <c r="Q8" i="1"/>
  <c r="P8" i="1"/>
  <c r="O8" i="1"/>
  <c r="N8" i="1"/>
  <c r="T7" i="1"/>
  <c r="S7" i="1"/>
  <c r="R7" i="1"/>
  <c r="Q7" i="1"/>
  <c r="P7" i="1"/>
  <c r="O7" i="1"/>
  <c r="N7" i="1"/>
  <c r="T6" i="1"/>
  <c r="S6" i="1"/>
  <c r="R6" i="1"/>
  <c r="Q6" i="1"/>
  <c r="P6" i="1"/>
  <c r="O6" i="1"/>
  <c r="N6" i="1"/>
  <c r="T5" i="1"/>
  <c r="S5" i="1"/>
  <c r="R5" i="1"/>
  <c r="Q5" i="1"/>
  <c r="P5" i="1"/>
  <c r="O5" i="1"/>
  <c r="N5" i="1"/>
  <c r="T4" i="1"/>
  <c r="S4" i="1"/>
  <c r="R4" i="1"/>
  <c r="Q4" i="1"/>
  <c r="P4" i="1"/>
  <c r="O4" i="1"/>
  <c r="N4" i="1"/>
  <c r="T3" i="1"/>
  <c r="S3" i="1"/>
  <c r="R3" i="1"/>
  <c r="Q3" i="1"/>
  <c r="P3" i="1"/>
  <c r="O3" i="1"/>
  <c r="N3" i="1"/>
  <c r="T2" i="1"/>
  <c r="S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<sst xmlns="http://schemas.openxmlformats.org/spreadsheetml/2006/main" count="5561" uniqueCount="1732">
  <si>
    <t>Cód do Cliente</t>
  </si>
  <si>
    <t>Nome Cliente</t>
  </si>
  <si>
    <t>Assessor</t>
  </si>
  <si>
    <t>PL Tailor</t>
  </si>
  <si>
    <t>PL Declarado</t>
  </si>
  <si>
    <t>Perfil</t>
  </si>
  <si>
    <t>Setor</t>
  </si>
  <si>
    <t>Nascimento</t>
  </si>
  <si>
    <t>Cidade</t>
  </si>
  <si>
    <t>Estado</t>
  </si>
  <si>
    <t>Estado Civil</t>
  </si>
  <si>
    <t>Documento</t>
  </si>
  <si>
    <t>TAG</t>
  </si>
  <si>
    <t>Endereço</t>
  </si>
  <si>
    <t>SoW</t>
  </si>
  <si>
    <t>Tipo de Cliente</t>
  </si>
  <si>
    <t>Banker</t>
  </si>
  <si>
    <t>Finder</t>
  </si>
  <si>
    <t>Canal</t>
  </si>
  <si>
    <t>Casa</t>
  </si>
  <si>
    <t>FELIPE GARCIA PORTO</t>
  </si>
  <si>
    <t>A25137</t>
  </si>
  <si>
    <t>Agressivo</t>
  </si>
  <si>
    <t>ENGENHEIRO</t>
  </si>
  <si>
    <t>RIO DE JANEIRO</t>
  </si>
  <si>
    <t>Solteiro(a)</t>
  </si>
  <si>
    <t>152.172.697-31</t>
  </si>
  <si>
    <t>Vida Apresentado;</t>
  </si>
  <si>
    <t>HERBERT VIEIRA FERNANDES</t>
  </si>
  <si>
    <t>Moderado</t>
  </si>
  <si>
    <t>DIRETOR DE EMPRESAS</t>
  </si>
  <si>
    <t>SAO PAULO</t>
  </si>
  <si>
    <t>357.592.038-94</t>
  </si>
  <si>
    <t>ADONIAS MARTINS DE NORONHA</t>
  </si>
  <si>
    <t>A21615</t>
  </si>
  <si>
    <t>OUTROS</t>
  </si>
  <si>
    <t>BRASOPOLIS</t>
  </si>
  <si>
    <t>079.730.166-60</t>
  </si>
  <si>
    <t>RICARDO ABRAO PEDROSO</t>
  </si>
  <si>
    <t>A69233</t>
  </si>
  <si>
    <t>NÃO PREENCHIDO</t>
  </si>
  <si>
    <t>OSASCO</t>
  </si>
  <si>
    <t>Casado(a) Com Brasileiro(a) Nato(a)</t>
  </si>
  <si>
    <t>104.362.128-89</t>
  </si>
  <si>
    <t>PEDRO EMILIO BOYER SIMOES MEIRELES</t>
  </si>
  <si>
    <t>ESTUDANTE</t>
  </si>
  <si>
    <t>196.178.947-77</t>
  </si>
  <si>
    <t>GABRIEL BOYER NOGUEIRA LIMA</t>
  </si>
  <si>
    <t>A20770</t>
  </si>
  <si>
    <t>ATUARIO E MATEMATICO</t>
  </si>
  <si>
    <t>094.103.987-03</t>
  </si>
  <si>
    <t>RAFAELA VALARINI ZAMBELLO</t>
  </si>
  <si>
    <t>PUBLICITARIO</t>
  </si>
  <si>
    <t>391.951.248-02</t>
  </si>
  <si>
    <t>MARIA CAROLINA BOYER SIMOES MEIRELES</t>
  </si>
  <si>
    <t>166.364.237-06</t>
  </si>
  <si>
    <t>IVANI VALARINI ZAMBELLO</t>
  </si>
  <si>
    <t>DIRIGENTES DO SERVICO PUBLICO</t>
  </si>
  <si>
    <t>PIRACICABA</t>
  </si>
  <si>
    <t>027.805.548-60</t>
  </si>
  <si>
    <t>Vida Boletado</t>
  </si>
  <si>
    <t>ANTONIO EMILIO SIMOES MEIRELES</t>
  </si>
  <si>
    <t>Rio de Janeiro</t>
  </si>
  <si>
    <t>839.760.007-87</t>
  </si>
  <si>
    <t>Advisor Victor Q</t>
  </si>
  <si>
    <t>FLAVIA DA SILVA CHAVES</t>
  </si>
  <si>
    <t>A97688</t>
  </si>
  <si>
    <t>EMPRESARIO</t>
  </si>
  <si>
    <t>Divorciado(a)</t>
  </si>
  <si>
    <t>220.332.498-83</t>
  </si>
  <si>
    <t>MARCIO MAGALHAES DUARTE</t>
  </si>
  <si>
    <t>MEDICO</t>
  </si>
  <si>
    <t>079.529.607-09</t>
  </si>
  <si>
    <t>REGINA MARIA BAPTISTA DA SILVA</t>
  </si>
  <si>
    <t>A47611</t>
  </si>
  <si>
    <t>FUNCIONARIO PUBLICO CIVIL APOSENTADO</t>
  </si>
  <si>
    <t>309.607.117-91</t>
  </si>
  <si>
    <t>Vida Sem Perfil</t>
  </si>
  <si>
    <t>ARTHUR CHAVES DE AZEVEDO</t>
  </si>
  <si>
    <t>569.124.338-12</t>
  </si>
  <si>
    <t>ANDRE GOULART AGUIAR</t>
  </si>
  <si>
    <t>113.049.647-36</t>
  </si>
  <si>
    <t>ANDREA LICIO FROTA</t>
  </si>
  <si>
    <t>DESENHISTA COMERCIAL</t>
  </si>
  <si>
    <t>NITEROI</t>
  </si>
  <si>
    <t>125.148.577-40</t>
  </si>
  <si>
    <t>FABIO AIETA SARTORIO</t>
  </si>
  <si>
    <t>ADMINISTRADOR</t>
  </si>
  <si>
    <t>Casado(a) Com Brasileiro(a) Naturalizado</t>
  </si>
  <si>
    <t>078.049.357-57</t>
  </si>
  <si>
    <t>Vida Apresentado</t>
  </si>
  <si>
    <t>JOSE EDUARDO TEPEDINO ALVES FILHO</t>
  </si>
  <si>
    <t>Conservador</t>
  </si>
  <si>
    <t>DESENHISTA INDUSTRIAL</t>
  </si>
  <si>
    <t>138.118.327-19</t>
  </si>
  <si>
    <t>BARBARA GUEDES MUNIZ DE SOUZA</t>
  </si>
  <si>
    <t>ADVOGADO</t>
  </si>
  <si>
    <t>124.054.807-94</t>
  </si>
  <si>
    <t>ROBERTA ZAHRAN STAMATIS</t>
  </si>
  <si>
    <t>379.577.098-00</t>
  </si>
  <si>
    <t>RAFAEL MOURA REZENDE DE OLIVEIRA</t>
  </si>
  <si>
    <t>099.611.587-09</t>
  </si>
  <si>
    <t>FERNANDA BECK TABAJARA</t>
  </si>
  <si>
    <t>A48731</t>
  </si>
  <si>
    <t>União Estável</t>
  </si>
  <si>
    <t>027.903.640-01</t>
  </si>
  <si>
    <t>SONIA MARIA MARAUCCI DE ARRUDA MELLO</t>
  </si>
  <si>
    <t>DECORADOR</t>
  </si>
  <si>
    <t>650.173.908-04</t>
  </si>
  <si>
    <t>Vida Sem Perfil;</t>
  </si>
  <si>
    <t>PAULA DE ABREU MILO</t>
  </si>
  <si>
    <t>034.332.206-46</t>
  </si>
  <si>
    <t>LIGIA KRAIDE MONTEIRO GUERRA</t>
  </si>
  <si>
    <t>105.220.077-08</t>
  </si>
  <si>
    <t>JOSE PAULO BORGES VICENTE</t>
  </si>
  <si>
    <t>BARUERI</t>
  </si>
  <si>
    <t>306.705.128-93</t>
  </si>
  <si>
    <t>EDUARDO GARCIA PORTO</t>
  </si>
  <si>
    <t>BOLSISTA, ESTAGIARIO E ASSEMELHADOS</t>
  </si>
  <si>
    <t>152.170.707-30</t>
  </si>
  <si>
    <t>JULIANA GARCIA PORTO</t>
  </si>
  <si>
    <t>152.171.887-31</t>
  </si>
  <si>
    <t>FILIPE MENDES SOARES MARTINS</t>
  </si>
  <si>
    <t>BRUMADO</t>
  </si>
  <si>
    <t>859.437.875-00</t>
  </si>
  <si>
    <t>Advisor Victor Q;Vida Boletado;Open Finance;</t>
  </si>
  <si>
    <t>REMO MARTINS NASCIMENTO FRAZAO</t>
  </si>
  <si>
    <t>APOSENTADO (EXCETO FUNCIONARIO PUBLICO)</t>
  </si>
  <si>
    <t>335.920.807-25</t>
  </si>
  <si>
    <t>JOAO JOSE FERREIRA NETO</t>
  </si>
  <si>
    <t>FLORIANOPOLIS</t>
  </si>
  <si>
    <t>043.995.089-90</t>
  </si>
  <si>
    <t>PATRICIA FAIRON</t>
  </si>
  <si>
    <t>ESCULTOR, PINTOR E ASSEMELHADOS</t>
  </si>
  <si>
    <t>757.619.631-91</t>
  </si>
  <si>
    <t>ANTONIO DE NORONHA OLIVEIRA</t>
  </si>
  <si>
    <t>BRAZOPOLIS</t>
  </si>
  <si>
    <t>179.904.046-13</t>
  </si>
  <si>
    <t>PEDRO ROBERTO GOMES DA SILVEIRA</t>
  </si>
  <si>
    <t>141.393.987-28</t>
  </si>
  <si>
    <t>LEANDRO PEREIRA CARVALHO</t>
  </si>
  <si>
    <t>ANALISTA DE SISTEMAS</t>
  </si>
  <si>
    <t>SAO JOSE DOS CAMPOS</t>
  </si>
  <si>
    <t>094.278.117-14</t>
  </si>
  <si>
    <t>FLAVIA CHECCHIN DA SILVA BUENO</t>
  </si>
  <si>
    <t>ENFERMEIRO E NUTRICIONISTA</t>
  </si>
  <si>
    <t>412.222.718-69</t>
  </si>
  <si>
    <t>ELSY DESIATI</t>
  </si>
  <si>
    <t>852.798.548-91</t>
  </si>
  <si>
    <t>CAIO VINICIUS VENCESLAU</t>
  </si>
  <si>
    <t>379.439.188-86</t>
  </si>
  <si>
    <t>MARINA KAWAI UTIAMA</t>
  </si>
  <si>
    <t>368.975.508-50</t>
  </si>
  <si>
    <t>WALTER UTUARI TEXEIRA</t>
  </si>
  <si>
    <t>DIADEMA</t>
  </si>
  <si>
    <t>993.820.678-68</t>
  </si>
  <si>
    <t>KAZUKO LEA IMAIZUMI</t>
  </si>
  <si>
    <t>VARGEM GRANDE PAULISTA</t>
  </si>
  <si>
    <t>935.772.578-49</t>
  </si>
  <si>
    <t>ELIANA NASCIMENTO</t>
  </si>
  <si>
    <t>GUARULHOS</t>
  </si>
  <si>
    <t>054.986.698-10</t>
  </si>
  <si>
    <t>CASSIA RODRIGUES DOS SANTOS</t>
  </si>
  <si>
    <t>Não preenchido</t>
  </si>
  <si>
    <t>PROFESSOR DE PRIMEIRO E SEGUNDO GRAUS</t>
  </si>
  <si>
    <t>301.909.018-02</t>
  </si>
  <si>
    <t>DANIELE PANSAM</t>
  </si>
  <si>
    <t>300.400.648-08</t>
  </si>
  <si>
    <t>GUSTAVO PLASTER SERIPIERI</t>
  </si>
  <si>
    <t>SERVIDOR PUBLICO MUNICIPAL</t>
  </si>
  <si>
    <t>420.802.868-89</t>
  </si>
  <si>
    <t>LUCIO SILVA MATOS</t>
  </si>
  <si>
    <t>037.540.338-83</t>
  </si>
  <si>
    <t>DEIVIS COUTINHO ATTUY</t>
  </si>
  <si>
    <t>ITAPECERICA DA SERRA</t>
  </si>
  <si>
    <t>374.745.258-28</t>
  </si>
  <si>
    <t>RAFAEL PALLINI MORAIS</t>
  </si>
  <si>
    <t>GERENTE</t>
  </si>
  <si>
    <t>SAO CAETANO DO SUL</t>
  </si>
  <si>
    <t>407.195.748-46</t>
  </si>
  <si>
    <t>CLAUDIO CESAR DE OLIVEIRA</t>
  </si>
  <si>
    <t>TRAB. AUTONOMO</t>
  </si>
  <si>
    <t>101.845.958-86</t>
  </si>
  <si>
    <t>ANGELO NOE GIONIMI</t>
  </si>
  <si>
    <t>SAO CARLOS</t>
  </si>
  <si>
    <t>026.598.308-86</t>
  </si>
  <si>
    <t>VALERIA COBUCCI</t>
  </si>
  <si>
    <t>040.287.018-21</t>
  </si>
  <si>
    <t>CLAUDIO HENRIQUE MOURA DE LUCENA</t>
  </si>
  <si>
    <t>SOROCABA</t>
  </si>
  <si>
    <t>226.287.058-69</t>
  </si>
  <si>
    <t>FRANCISCO CARLOS MOREIRA JUNIOR</t>
  </si>
  <si>
    <t>FORTALEZA</t>
  </si>
  <si>
    <t>525.084.803-63</t>
  </si>
  <si>
    <t>INDIRA DE OLIVEIRA PESSOA</t>
  </si>
  <si>
    <t>CAJAMAR</t>
  </si>
  <si>
    <t>327.268.968-04</t>
  </si>
  <si>
    <t>WILTON PASSOS BRITO</t>
  </si>
  <si>
    <t>829.735.045-20</t>
  </si>
  <si>
    <t>JOSE ADAILTO DE SOUSA</t>
  </si>
  <si>
    <t>CACOAL</t>
  </si>
  <si>
    <t>643.476.131-72</t>
  </si>
  <si>
    <t>TATIANA CHVEIDEL JORDAO</t>
  </si>
  <si>
    <t>123.173.187-74</t>
  </si>
  <si>
    <t>GABRIEL GUIA FERREIRA</t>
  </si>
  <si>
    <t>169.324.937-56</t>
  </si>
  <si>
    <t>IGOR ARAUJO DE VASCONCELOS ULIANA CAMPOS</t>
  </si>
  <si>
    <t>BANCARIO E ECONOMIARIO</t>
  </si>
  <si>
    <t>144.235.897-10</t>
  </si>
  <si>
    <t>LINEU RIBEIRO SALGADO NETO</t>
  </si>
  <si>
    <t>163.699.747-30</t>
  </si>
  <si>
    <t>NATASHA CHVEIDEL JORDAO</t>
  </si>
  <si>
    <t>109.221.227-25</t>
  </si>
  <si>
    <t>ANA PAULA CANTARELLI SOAVE</t>
  </si>
  <si>
    <t>216.812.918-51</t>
  </si>
  <si>
    <t>NATASHA RIBAS FERREIRA</t>
  </si>
  <si>
    <t>141.691.217-75</t>
  </si>
  <si>
    <t>MURILO FIGUEIREDO GUIMARAES</t>
  </si>
  <si>
    <t>TABOAO DA SERRA</t>
  </si>
  <si>
    <t>375.862.958-67</t>
  </si>
  <si>
    <t>RAFAEL ASSIS DE SANSON PORTELLA</t>
  </si>
  <si>
    <t>201.596.637-41</t>
  </si>
  <si>
    <t>MARIANA CORREA CASTRO VALLE</t>
  </si>
  <si>
    <t>PETROPOLIS</t>
  </si>
  <si>
    <t>091.291.727-05</t>
  </si>
  <si>
    <t>MASSIMO DESIATI</t>
  </si>
  <si>
    <t>063.422.438-75</t>
  </si>
  <si>
    <t>HENRIQUE NICCO</t>
  </si>
  <si>
    <t>ATLETA PROFISSIONAL E TECNICO EM DESPORTOS</t>
  </si>
  <si>
    <t>CURITIBA</t>
  </si>
  <si>
    <t>077.139.559-09</t>
  </si>
  <si>
    <t>MARIA CAROLINA SILVA TORRES</t>
  </si>
  <si>
    <t>DUQUE DE CAXIAS</t>
  </si>
  <si>
    <t>159.891.407-38</t>
  </si>
  <si>
    <t>DANIELE BEZERRA DE ALMEIDA</t>
  </si>
  <si>
    <t>000.681.720-36</t>
  </si>
  <si>
    <t>WAGNER AZEVEDO DE CARVALHO</t>
  </si>
  <si>
    <t>026.389.157-77</t>
  </si>
  <si>
    <t>ANA VITORIA CORREIA VIANA</t>
  </si>
  <si>
    <t>195.029.357-21</t>
  </si>
  <si>
    <t>ANDREIA JISOOK LEE AHN</t>
  </si>
  <si>
    <t>342.133.358-01</t>
  </si>
  <si>
    <t>PAULO GURGEL VALENTE</t>
  </si>
  <si>
    <t>385.198.957-00</t>
  </si>
  <si>
    <t>PEDRO HENRIQUE DUTRA DE ARTAGAO</t>
  </si>
  <si>
    <t>083.078.707-04</t>
  </si>
  <si>
    <t>NATASHA DANGELO MACHADO</t>
  </si>
  <si>
    <t>Campinas</t>
  </si>
  <si>
    <t>319.446.258-01</t>
  </si>
  <si>
    <t>MICHIYO TAMURA</t>
  </si>
  <si>
    <t>Viuvo(a)</t>
  </si>
  <si>
    <t>149.110.318-32</t>
  </si>
  <si>
    <t>MIRELLY ALVES DA ROSA</t>
  </si>
  <si>
    <t>350.682.748-01</t>
  </si>
  <si>
    <t>JACQUELINE PEREIRA PINAS</t>
  </si>
  <si>
    <t>SAO JOSE DO RIO PRETO</t>
  </si>
  <si>
    <t>670.996.530-91</t>
  </si>
  <si>
    <t>PAULO JOSE FERREIRA BRAGA FILHO</t>
  </si>
  <si>
    <t>157.655.618-29</t>
  </si>
  <si>
    <t>PEDRO HENRIQUE MIRANDA DOS SANTOS</t>
  </si>
  <si>
    <t>198.129.197-08</t>
  </si>
  <si>
    <t>ANA PAULA MARINHO VIANA</t>
  </si>
  <si>
    <t>SECURITARIO</t>
  </si>
  <si>
    <t>124.175.557-43</t>
  </si>
  <si>
    <t>PASCHOAL FALCONI JUNIOR</t>
  </si>
  <si>
    <t>ESTATISTICO</t>
  </si>
  <si>
    <t>138.170.238-47</t>
  </si>
  <si>
    <t>MARILDA DE SOUZA FIGUEIRA</t>
  </si>
  <si>
    <t>014.497.037-63</t>
  </si>
  <si>
    <t>THAIS MARTINHO DA SILVA MONTEIRO</t>
  </si>
  <si>
    <t>144.351.487-06</t>
  </si>
  <si>
    <t>EDUARDO VALENTE ISFER</t>
  </si>
  <si>
    <t>567.806.309-00</t>
  </si>
  <si>
    <t>MUNIQUE DE SOUZA MENDES</t>
  </si>
  <si>
    <t>132.370.337-31</t>
  </si>
  <si>
    <t>JULIE YUKARI SEGAWA</t>
  </si>
  <si>
    <t>227.337.128-45</t>
  </si>
  <si>
    <t>WALFREDO CAMPOS MAYA JUNIOR</t>
  </si>
  <si>
    <t>310.962.207-68</t>
  </si>
  <si>
    <t>MARCELO LOMBA DO NASCIMENTO</t>
  </si>
  <si>
    <t>109.567.157-02</t>
  </si>
  <si>
    <t>NICOLE BARRETO CALVALHAR</t>
  </si>
  <si>
    <t>SANTOS</t>
  </si>
  <si>
    <t>490.409.078-03</t>
  </si>
  <si>
    <t>FELIPE DIAS FURLAN</t>
  </si>
  <si>
    <t>SANTANA DE PARNAIBA</t>
  </si>
  <si>
    <t>351.641.658-05</t>
  </si>
  <si>
    <t>BRUNA GOMES SAVAGET DE AQUINO</t>
  </si>
  <si>
    <t>MARAU</t>
  </si>
  <si>
    <t>055.704.707-27</t>
  </si>
  <si>
    <t>RAMON VEIGA DE FREITAS FRANCO</t>
  </si>
  <si>
    <t>CORRETOR DE IMOVEIS, SEGUROS, TITULOS E VALORES</t>
  </si>
  <si>
    <t>087.684.647-97</t>
  </si>
  <si>
    <t>RICARDO CONEGLIAM</t>
  </si>
  <si>
    <t>177.506.668-18</t>
  </si>
  <si>
    <t>Advisor Victor Q;Vida Apresentado</t>
  </si>
  <si>
    <t>PIETRO JUNIOR FARSOUN PIROZZI</t>
  </si>
  <si>
    <t>RIO POMBA</t>
  </si>
  <si>
    <t>119.491.426-80</t>
  </si>
  <si>
    <t>GIOVANNA SANTINO TARTAREL AZEVEDO RIBAS</t>
  </si>
  <si>
    <t>140.292.047-40</t>
  </si>
  <si>
    <t>FELIPE CHECCHIN DA SILVA BUENO</t>
  </si>
  <si>
    <t>385.092.748-27</t>
  </si>
  <si>
    <t>RAPHAEL PEREIRA DE SOUZA</t>
  </si>
  <si>
    <t>126.881.157-23</t>
  </si>
  <si>
    <t>ANA MARIA MACEDO DE SOUZA</t>
  </si>
  <si>
    <t>PROPRIETARIO DE ESTABELECIMENTO DE PRESTACAO DE SERVICOS</t>
  </si>
  <si>
    <t>631.857.337-20</t>
  </si>
  <si>
    <t>FABIO DE MORAES PEREIRA</t>
  </si>
  <si>
    <t>Indaial</t>
  </si>
  <si>
    <t>381.709.538-47</t>
  </si>
  <si>
    <t>PLINIO ANTONIO CHAGAS</t>
  </si>
  <si>
    <t>SERVENTUARIO DE JUSTICA</t>
  </si>
  <si>
    <t>044.968.338-91</t>
  </si>
  <si>
    <t>ANTONIO CESAR VALERIO DA SILVA</t>
  </si>
  <si>
    <t>Niterói</t>
  </si>
  <si>
    <t>857.235.257-00</t>
  </si>
  <si>
    <t>THAYANE DINIZ E FREITAS</t>
  </si>
  <si>
    <t>104.461.866-35</t>
  </si>
  <si>
    <t>PEDRO GRACA SCRIPILLITI</t>
  </si>
  <si>
    <t>227.883.318-94</t>
  </si>
  <si>
    <t>DAVI DORIO JACOBI</t>
  </si>
  <si>
    <t>606.895.498-65</t>
  </si>
  <si>
    <t>CHARLES SCHRIJNEMAEKERS</t>
  </si>
  <si>
    <t>JUNDIAI</t>
  </si>
  <si>
    <t>055.153.258-00</t>
  </si>
  <si>
    <t>LUCIANA RINA GAETANA RITA PRIMA DE ALENCASTRO GUIMARAES</t>
  </si>
  <si>
    <t>387.855.107-00</t>
  </si>
  <si>
    <t>TIAGO BOAVENTURA LOPES</t>
  </si>
  <si>
    <t>372.706.398-09</t>
  </si>
  <si>
    <t>CAROLINA ROSA PEDREIRA SANTOS</t>
  </si>
  <si>
    <t>PORTELANDIA</t>
  </si>
  <si>
    <t>859.202.895-70</t>
  </si>
  <si>
    <t>BERNARDO BAZANI MUNIZ MELLO</t>
  </si>
  <si>
    <t>ARQUITETO</t>
  </si>
  <si>
    <t>150.652.667-51</t>
  </si>
  <si>
    <t>LUIZ CARLOS PRINCE JUNQUEIRA DE ANDRADE</t>
  </si>
  <si>
    <t>ODONTOLOGO E DENTISTA</t>
  </si>
  <si>
    <t>GURUPI</t>
  </si>
  <si>
    <t>033.882.241-02</t>
  </si>
  <si>
    <t>CARMELA TARTAREL RIBAS</t>
  </si>
  <si>
    <t>008.741.437-64</t>
  </si>
  <si>
    <t>MATEUS VITORIA OLIVEIRA</t>
  </si>
  <si>
    <t>Vitória</t>
  </si>
  <si>
    <t>145.124.577-71</t>
  </si>
  <si>
    <t>GIULIA CERIOLI CLOSS</t>
  </si>
  <si>
    <t>PORTO ALEGRE</t>
  </si>
  <si>
    <t>020.568.570-65</t>
  </si>
  <si>
    <t>PEDRO DUCLOS SEMEONI</t>
  </si>
  <si>
    <t>São Paulo</t>
  </si>
  <si>
    <t>388.889.958-38</t>
  </si>
  <si>
    <t>MARIANA LUCAS UEBEL</t>
  </si>
  <si>
    <t>882.314.960-68</t>
  </si>
  <si>
    <t>SIDNA RACHEL REIS MARQUES</t>
  </si>
  <si>
    <t>108.705.116-96</t>
  </si>
  <si>
    <t>Advisor Victor Q;Vida Boletado</t>
  </si>
  <si>
    <t>FELIPE CASONI DE AZEVEDO CARVALHO</t>
  </si>
  <si>
    <t>143.211.357-70</t>
  </si>
  <si>
    <t>Vida Boletado;FP Apresentado;</t>
  </si>
  <si>
    <t>LEONARDO PEREIRA PINAS</t>
  </si>
  <si>
    <t>482.393.458-08</t>
  </si>
  <si>
    <t>GISELE GOMES DUBOC</t>
  </si>
  <si>
    <t>PENSIONISTA</t>
  </si>
  <si>
    <t>709.635.177-91</t>
  </si>
  <si>
    <t>Open Finance;</t>
  </si>
  <si>
    <t>CARLOS ALBERTO NICCO</t>
  </si>
  <si>
    <t>428.211.269-72</t>
  </si>
  <si>
    <t>FELIPE GUIMARAES MELLO ALVES</t>
  </si>
  <si>
    <t>126.714.707-54</t>
  </si>
  <si>
    <t>RITA AUGUSTA SILVA VALIM ROSSI</t>
  </si>
  <si>
    <t>MARINGA</t>
  </si>
  <si>
    <t>814.641.269-68</t>
  </si>
  <si>
    <t>MONICA BRANT DA SILVA TREIGER</t>
  </si>
  <si>
    <t>813.922.817-68</t>
  </si>
  <si>
    <t>FABIO DESIATI</t>
  </si>
  <si>
    <t>117.693.318-32</t>
  </si>
  <si>
    <t>EDUARDO LUTTERBACH SAPORETTI AZEVEDO</t>
  </si>
  <si>
    <t>095.860.267-01</t>
  </si>
  <si>
    <t>MARCELO DOS SANTOS</t>
  </si>
  <si>
    <t>Barueri</t>
  </si>
  <si>
    <t>152.269.348-31</t>
  </si>
  <si>
    <t>Advisor Victor Q;Open Finance</t>
  </si>
  <si>
    <t>ABILIO MANUEL DUARTE FRANCISCO</t>
  </si>
  <si>
    <t>065.727.798-31</t>
  </si>
  <si>
    <t>SERGIO DOS SANTOS FERREIRA</t>
  </si>
  <si>
    <t>288.525.348-73</t>
  </si>
  <si>
    <t>AMANDA ESCOCIO DA SILVA RANGEL</t>
  </si>
  <si>
    <t>128.517.677-47</t>
  </si>
  <si>
    <t>CECILIA NATIVIDADE PESSOA</t>
  </si>
  <si>
    <t>ECONOMISTA</t>
  </si>
  <si>
    <t>028.282.568-12</t>
  </si>
  <si>
    <t>CARLOS HENRIQUE DA SILVA</t>
  </si>
  <si>
    <t>014.156.017-71</t>
  </si>
  <si>
    <t>FABIO FABIANI PUCCIA</t>
  </si>
  <si>
    <t>300.410.698-11</t>
  </si>
  <si>
    <t>Advisor Victor Q;Vida Apresentado;</t>
  </si>
  <si>
    <t>ANAMELIA FERREIRA DO NASCIMENTO</t>
  </si>
  <si>
    <t>TERESINA</t>
  </si>
  <si>
    <t>361.637.673-49</t>
  </si>
  <si>
    <t>MARTA BARBOSA PINTO FARRAPEIRA</t>
  </si>
  <si>
    <t>054.805.901-20</t>
  </si>
  <si>
    <t>ARTUR PINTO FARRAPEIRA</t>
  </si>
  <si>
    <t>Florianópolis</t>
  </si>
  <si>
    <t>023.733.001-68</t>
  </si>
  <si>
    <t>REBECA COIMBRA KUSCHNAROFF</t>
  </si>
  <si>
    <t>484.688.268-39</t>
  </si>
  <si>
    <t>SANDRA BORDINI</t>
  </si>
  <si>
    <t>086.075.438-30</t>
  </si>
  <si>
    <t>ANDRE LUIS DE SOUZA</t>
  </si>
  <si>
    <t>334.080.158-48</t>
  </si>
  <si>
    <t>MICKELY VENCESLAU SILVA</t>
  </si>
  <si>
    <t>505.305.168-29</t>
  </si>
  <si>
    <t>ANA CAROLINA PEREIRA MARTINS</t>
  </si>
  <si>
    <t>172.847.987-85</t>
  </si>
  <si>
    <t>JOSE AUGUSTO ROSA DE ALVARENGA JUNIOR</t>
  </si>
  <si>
    <t>103.162.927-02</t>
  </si>
  <si>
    <t>FERNANDO RIVA</t>
  </si>
  <si>
    <t>144.379.278-00</t>
  </si>
  <si>
    <t>KENIA DE MAGALHAES RIVA</t>
  </si>
  <si>
    <t>193.907.608-01</t>
  </si>
  <si>
    <t>JOAQUIM CORREIA RODRIGUES</t>
  </si>
  <si>
    <t>329.016.667-87</t>
  </si>
  <si>
    <t>ILDEBRANDO PLACIDO BELLUCCI</t>
  </si>
  <si>
    <t>303.567.258-04</t>
  </si>
  <si>
    <t>MARCELA BRANT TREIGER</t>
  </si>
  <si>
    <t>144.924.267-79</t>
  </si>
  <si>
    <t>VICTOR HUGO QUEIROZ DOS SANTOS</t>
  </si>
  <si>
    <t>116.277.447-97</t>
  </si>
  <si>
    <t>VINICIUS VILLAS BOAS FONSECA</t>
  </si>
  <si>
    <t>VOTORANTIM</t>
  </si>
  <si>
    <t>057.459.756-52</t>
  </si>
  <si>
    <t>DANIEL CARNEIRO MAFFRA</t>
  </si>
  <si>
    <t>044.602.117-26</t>
  </si>
  <si>
    <t>BEATRIZ BARBOSA MARQUES</t>
  </si>
  <si>
    <t>122.153.907-86</t>
  </si>
  <si>
    <t>LUANA MALUF PEREIRA DA SILVA ROBLES</t>
  </si>
  <si>
    <t>391.893.728-32</t>
  </si>
  <si>
    <t>ANA PAULA FRASSINI</t>
  </si>
  <si>
    <t>ITAJAI</t>
  </si>
  <si>
    <t>056.116.169-09</t>
  </si>
  <si>
    <t>MARIANA PRINCE JUNQUEIRA DE ANDRADE</t>
  </si>
  <si>
    <t>033.882.191-09</t>
  </si>
  <si>
    <t>JULIA MIRANDA E SILVA SEQUEIRA</t>
  </si>
  <si>
    <t>115.884.267-85</t>
  </si>
  <si>
    <t>HELENA ZIMMERMANN CARVALHO</t>
  </si>
  <si>
    <t>606.790.918-90</t>
  </si>
  <si>
    <t>THIAGO DE MAGALHAES VARELA</t>
  </si>
  <si>
    <t>131.660.677-52</t>
  </si>
  <si>
    <t>IVAN LUNI TRUITE</t>
  </si>
  <si>
    <t>368.976.378-90</t>
  </si>
  <si>
    <t>GUILHERME HONORIO DE SOUZA</t>
  </si>
  <si>
    <t>JUIZ DE FORA</t>
  </si>
  <si>
    <t>088.097.656-05</t>
  </si>
  <si>
    <t>JOSE FERRAZ BARBOSA</t>
  </si>
  <si>
    <t>RECIFE</t>
  </si>
  <si>
    <t>005.604.534-42</t>
  </si>
  <si>
    <t>OLIVIA DINIZ CHAGAS</t>
  </si>
  <si>
    <t>090.355.918-87</t>
  </si>
  <si>
    <t>ISABELLA MARINHO GIMENES BELLO ROCHA</t>
  </si>
  <si>
    <t>414.688.198-60</t>
  </si>
  <si>
    <t>GABRIELA BOYAMIAN MEKHITARIAN</t>
  </si>
  <si>
    <t>467.756.788-35</t>
  </si>
  <si>
    <t>HENRIQUE RODRIGUES PINHEIRO SILVA</t>
  </si>
  <si>
    <t>BRASILIA</t>
  </si>
  <si>
    <t>001.926.181-05</t>
  </si>
  <si>
    <t>NICOLE MACHADO ABREU</t>
  </si>
  <si>
    <t>033.735.935-06</t>
  </si>
  <si>
    <t>FLAVIO UMADA</t>
  </si>
  <si>
    <t>355.390.828-93</t>
  </si>
  <si>
    <t>MATHEUS BOYAMIAN MEKHITARIAN</t>
  </si>
  <si>
    <t>455.916.058-93</t>
  </si>
  <si>
    <t>HELIO MANOEL FERNANDES DOS SANTOS</t>
  </si>
  <si>
    <t>084.366.088-01</t>
  </si>
  <si>
    <t>EDUARDO MORICI GONCALVES</t>
  </si>
  <si>
    <t>703.381.671-53</t>
  </si>
  <si>
    <t>PAULO AMORIM FUTAMI</t>
  </si>
  <si>
    <t>OUTROS TRABALHADORES DE NIVEL SUPERIOR LIGADOS AO ENSINO</t>
  </si>
  <si>
    <t>286.604.958-61</t>
  </si>
  <si>
    <t>RODRIGO NOLL</t>
  </si>
  <si>
    <t>015.532.170-63</t>
  </si>
  <si>
    <t>FELIPE VALLE DE ALBUQUERQUE MAGALHAES</t>
  </si>
  <si>
    <t>141.310.337-55</t>
  </si>
  <si>
    <t>LUCAS COLDEBELLA PEREIRA</t>
  </si>
  <si>
    <t>025.803.330-45</t>
  </si>
  <si>
    <t>RAPHAEL MARQUES SILVEIRA</t>
  </si>
  <si>
    <t>342.823.478-21</t>
  </si>
  <si>
    <t>ABILIO RIBEIRO FERNANDES</t>
  </si>
  <si>
    <t>107.252.678-60</t>
  </si>
  <si>
    <t>RUBENS FURLAN NETO</t>
  </si>
  <si>
    <t>089.776.978-32</t>
  </si>
  <si>
    <t>GABRIELA CABRINI</t>
  </si>
  <si>
    <t>JORNALISTA</t>
  </si>
  <si>
    <t>355.305.998-26</t>
  </si>
  <si>
    <t>BERNARDO COSTA RIBEIRO</t>
  </si>
  <si>
    <t>124.785.257-12</t>
  </si>
  <si>
    <t>LUIZA BRANT TREIGER</t>
  </si>
  <si>
    <t>124.785.277-66</t>
  </si>
  <si>
    <t>JENNIFER REIS DA SILVA</t>
  </si>
  <si>
    <t>162.445.037-75</t>
  </si>
  <si>
    <t>KARLA GOMES DA SILVA MCINTOSH</t>
  </si>
  <si>
    <t>099.098.547-40</t>
  </si>
  <si>
    <t>ROBERTO ALVES DE OLIVEIRA</t>
  </si>
  <si>
    <t>038.737.748-44</t>
  </si>
  <si>
    <t>VLADIMIR MOYZES PINAS</t>
  </si>
  <si>
    <t>602.286.360-00</t>
  </si>
  <si>
    <t>BRUNO BEZERRA DE MENEZES SOUZA</t>
  </si>
  <si>
    <t>Sao Paulo</t>
  </si>
  <si>
    <t>074.737.847-90</t>
  </si>
  <si>
    <t>TERENA SAPORETTI AZEVEDO PERISSE DE OLIVEIRA</t>
  </si>
  <si>
    <t>136.644.117-65</t>
  </si>
  <si>
    <t>ANA CLAUDIA RODRIGUES DE ALMEIDA</t>
  </si>
  <si>
    <t>911.965.747-15</t>
  </si>
  <si>
    <t>EDUARDO MAIA BENITEZ</t>
  </si>
  <si>
    <t>ARACAJU</t>
  </si>
  <si>
    <t>135.325.775-42</t>
  </si>
  <si>
    <t>NINA MONTEIRO DE BARROS SIQUEIRA</t>
  </si>
  <si>
    <t>440.572.438-52</t>
  </si>
  <si>
    <t>MARIA EDUARDA PROTA GUNTER</t>
  </si>
  <si>
    <t>026.939.818-08</t>
  </si>
  <si>
    <t>ISABELLE CHRISTINA RODRIGUES DE ALMEIDA</t>
  </si>
  <si>
    <t>163.167.737-30</t>
  </si>
  <si>
    <t>LUIZ ANTONIO VENCESLAU</t>
  </si>
  <si>
    <t>221.092.931-87</t>
  </si>
  <si>
    <t>LUISA LUNA PEREZ CONEGLIAM</t>
  </si>
  <si>
    <t>443.018.948-02</t>
  </si>
  <si>
    <t>LUCAS RODRIGUES AMARAL</t>
  </si>
  <si>
    <t>137.783.647-90</t>
  </si>
  <si>
    <t>RAFAEL GROZINSCHI MEIRA DA SILVA</t>
  </si>
  <si>
    <t>368.785.988-69</t>
  </si>
  <si>
    <t>SERGIO LUIS TAVARES</t>
  </si>
  <si>
    <t>127.114.958-33</t>
  </si>
  <si>
    <t>MARIO ALBINO MARTINS</t>
  </si>
  <si>
    <t>019.607.598-09</t>
  </si>
  <si>
    <t>MAURICIO JACOB MARTINS</t>
  </si>
  <si>
    <t>341.096.008-20</t>
  </si>
  <si>
    <t>FELIPE GATTI WEIGAND DE ANDRADE LIMA</t>
  </si>
  <si>
    <t>327.433.058-27</t>
  </si>
  <si>
    <t>ANTONIO CARLOS PINTO CELESTINO</t>
  </si>
  <si>
    <t>MACEIO</t>
  </si>
  <si>
    <t>032.626.134-60</t>
  </si>
  <si>
    <t>THIAGO CARVALHO DE LIMA</t>
  </si>
  <si>
    <t>099.915.287-41</t>
  </si>
  <si>
    <t>FELIPE FRANCA SANTOS OLIVEIRA</t>
  </si>
  <si>
    <t>128.464.547-95</t>
  </si>
  <si>
    <t>FERNANDA SEHBE RIZZO</t>
  </si>
  <si>
    <t>502.911.220-00</t>
  </si>
  <si>
    <t>PEDRO NEIVA DE SANTANA NETO</t>
  </si>
  <si>
    <t>716.904.681-49</t>
  </si>
  <si>
    <t>PRISCILLA TAVEIRA ARNET</t>
  </si>
  <si>
    <t>051.735.137-48</t>
  </si>
  <si>
    <t>RUTE CARVALHO STEDILE</t>
  </si>
  <si>
    <t>PROPRIETARIO DE MICROEMPRESAS</t>
  </si>
  <si>
    <t>390.027.990-04</t>
  </si>
  <si>
    <t>LUIS FELIPE SALOMAO FILHO</t>
  </si>
  <si>
    <t>124.202.587-11</t>
  </si>
  <si>
    <t>ATILA ANDRADE SANTOS</t>
  </si>
  <si>
    <t>937.401.405-00</t>
  </si>
  <si>
    <t>VICTORIA MARIA FLADT QUEIROZ</t>
  </si>
  <si>
    <t>232.272.728-81</t>
  </si>
  <si>
    <t>DIOGO NANTE ANDRADE</t>
  </si>
  <si>
    <t>129.621.997-63</t>
  </si>
  <si>
    <t>RAFAELA ALIPERTI FRANCA DOMINGUES</t>
  </si>
  <si>
    <t>409.565.958-04</t>
  </si>
  <si>
    <t>DEBORAH REQUENA RACHID</t>
  </si>
  <si>
    <t>311.196.498-11</t>
  </si>
  <si>
    <t>JOSE JOAO CUNHA FILHO</t>
  </si>
  <si>
    <t>VITORIA</t>
  </si>
  <si>
    <t>119.265.997-05</t>
  </si>
  <si>
    <t>CAIO CESAR DE CARVALHO</t>
  </si>
  <si>
    <t>380.453.258-60</t>
  </si>
  <si>
    <t>CAIO RAGGHIANTE VISCARDI</t>
  </si>
  <si>
    <t>356.682.718-54</t>
  </si>
  <si>
    <t>ROGER KIM BELIZARIO RODRIGUES</t>
  </si>
  <si>
    <t>140.394.307-94</t>
  </si>
  <si>
    <t>FREDIANO PAULO DEL GRANDE</t>
  </si>
  <si>
    <t>135.097.578-82</t>
  </si>
  <si>
    <t>NILO SERGIO GAIAO SANTOS</t>
  </si>
  <si>
    <t>Chapecó</t>
  </si>
  <si>
    <t>060.585.137-90</t>
  </si>
  <si>
    <t>JONAS BERBERT PULCHERI</t>
  </si>
  <si>
    <t>086.702.467-40</t>
  </si>
  <si>
    <t>LUIS ANTONIO DE LIMA</t>
  </si>
  <si>
    <t>066.547.578-07</t>
  </si>
  <si>
    <t>BERNARDO BORGES LEAL</t>
  </si>
  <si>
    <t>NOVA FRIBURGO</t>
  </si>
  <si>
    <t>465.787.307-53</t>
  </si>
  <si>
    <t>MARINA PUMAR SEGRETO MENESCAL</t>
  </si>
  <si>
    <t>129.597.617-07</t>
  </si>
  <si>
    <t>DANIEL CARVALHO ANGELO</t>
  </si>
  <si>
    <t>085.836.747-52</t>
  </si>
  <si>
    <t>DANIEL KANAREK</t>
  </si>
  <si>
    <t>073.939.318-93</t>
  </si>
  <si>
    <t>CARLOS FILIPE VIEIRA COELHO DE AZEREDO</t>
  </si>
  <si>
    <t>Casado(a) Com Estrangeiro(a)</t>
  </si>
  <si>
    <t>360.746.917-20</t>
  </si>
  <si>
    <t>LUCIANA MOREIRA KANAREK</t>
  </si>
  <si>
    <t>364.304.148-92</t>
  </si>
  <si>
    <t>FABIO DE MENEZES SALVA</t>
  </si>
  <si>
    <t>193.419.868-42</t>
  </si>
  <si>
    <t>Advisor Victor Q;Open Finance;Vida Apresentado;</t>
  </si>
  <si>
    <t>FERNANDO MOREIRA KANAREK</t>
  </si>
  <si>
    <t>364.304.138-10</t>
  </si>
  <si>
    <t>LEANDRO DE OLIVEIRA ROBERTO</t>
  </si>
  <si>
    <t>370.396.658-08</t>
  </si>
  <si>
    <t>CEZAR AUGUSTO HAIK FILHO</t>
  </si>
  <si>
    <t>398.018.248-75</t>
  </si>
  <si>
    <t>CARLOS ALBERTO DIAS COSTA JUNIOR</t>
  </si>
  <si>
    <t>036.755.885-80</t>
  </si>
  <si>
    <t>FRANCISCA MAINARDI</t>
  </si>
  <si>
    <t>369.431.318-42</t>
  </si>
  <si>
    <t>RODRIGO CUNHA MELLO SALOMAO</t>
  </si>
  <si>
    <t>150.801.877-43</t>
  </si>
  <si>
    <t>BRENA PIMENTEL BAUMLE</t>
  </si>
  <si>
    <t>015.466.169-42</t>
  </si>
  <si>
    <t>LUIZ CLAUDIO FREIRE DO AMARAL</t>
  </si>
  <si>
    <t>720.461.127-68</t>
  </si>
  <si>
    <t>ANA TEREZA GARCIA MARTINS PORTO</t>
  </si>
  <si>
    <t>701.467.726-87</t>
  </si>
  <si>
    <t>Advisor Victor Q;Agressivo;</t>
  </si>
  <si>
    <t>FLAVIO AZER MALUF</t>
  </si>
  <si>
    <t>369.619.408-54</t>
  </si>
  <si>
    <t>ODDBJORN JORTVEIT</t>
  </si>
  <si>
    <t>749.647.551-34</t>
  </si>
  <si>
    <t>GABRIEL CABRAL PILZ</t>
  </si>
  <si>
    <t>355.986.658-83</t>
  </si>
  <si>
    <t>ANTONIO AUGUSTO BARCELLOS VILLAREJO</t>
  </si>
  <si>
    <t>053.200.687-94</t>
  </si>
  <si>
    <t>RENATA DUMANS VIEIRA</t>
  </si>
  <si>
    <t>087.414.887-17</t>
  </si>
  <si>
    <t>FELIPE DA COSTA CASTELLARI</t>
  </si>
  <si>
    <t>418.383.888-69</t>
  </si>
  <si>
    <t>ELIZABETH RODRIGUES AMARAL</t>
  </si>
  <si>
    <t>781.678.687-53</t>
  </si>
  <si>
    <t>BRUNO ROSENBERGER JESUS</t>
  </si>
  <si>
    <t>336.693.718-18</t>
  </si>
  <si>
    <t>FP Apresentado;Vida Apresentado;</t>
  </si>
  <si>
    <t>RAFAEL BALBO PIAZZON</t>
  </si>
  <si>
    <t>213.931.028-40</t>
  </si>
  <si>
    <t>GILSON NORIO MISSAWA</t>
  </si>
  <si>
    <t>CAMPINAS</t>
  </si>
  <si>
    <t>253.148.628-32</t>
  </si>
  <si>
    <t>Vida Boletado;Open Finance;FP Boletado;</t>
  </si>
  <si>
    <t>MARCELO MANDETTA</t>
  </si>
  <si>
    <t>124.461.038-04</t>
  </si>
  <si>
    <t>FERNANDA DE MOURA BORGES LEAL</t>
  </si>
  <si>
    <t>129.577.377-52</t>
  </si>
  <si>
    <t>GUILHERME MONTEIRO DE LIMA COSTA</t>
  </si>
  <si>
    <t>CONSULTOR</t>
  </si>
  <si>
    <t>637.947.307-63</t>
  </si>
  <si>
    <t>GEORGEANA LEAL DE MACEDO REZENDE</t>
  </si>
  <si>
    <t>074.223.807-56</t>
  </si>
  <si>
    <t>NELSON SEMEONI JUNIOR</t>
  </si>
  <si>
    <t>053.985.558-80</t>
  </si>
  <si>
    <t>NELSON SEMEONI NETO</t>
  </si>
  <si>
    <t>388.889.968-00</t>
  </si>
  <si>
    <t>THOMAS KIM LUZ RODRIGUES</t>
  </si>
  <si>
    <t>113.943.867-02</t>
  </si>
  <si>
    <t>BRUNA MEKHITARIAN YEZEGUIELIAN</t>
  </si>
  <si>
    <t>395.821.388-07</t>
  </si>
  <si>
    <t>ARTHUR MEKHITARIAN YEZEGUIELIAN</t>
  </si>
  <si>
    <t>397.662.028-93</t>
  </si>
  <si>
    <t>Vida Boletado;</t>
  </si>
  <si>
    <t>DANIEL DE MORAES REGO NAINE REIS</t>
  </si>
  <si>
    <t>054.749.007-08</t>
  </si>
  <si>
    <t>RAUL CARNEIRO DE SANSON PORTELLA</t>
  </si>
  <si>
    <t>043.036.387-73</t>
  </si>
  <si>
    <t>MARIA REGINA MORENO COCCHIARALI</t>
  </si>
  <si>
    <t>072.934.938-19</t>
  </si>
  <si>
    <t>JOSE EDUARDO DANTAS DE FREITAS</t>
  </si>
  <si>
    <t>396.528.748-68</t>
  </si>
  <si>
    <t>ISABEL ARAUJO SILVA TAVARES DANTAS DE FREITAS</t>
  </si>
  <si>
    <t>035.416.328-01</t>
  </si>
  <si>
    <t>JANAINA SILVA DE SOUZA</t>
  </si>
  <si>
    <t>SAO BERNARDO DO CAMPO</t>
  </si>
  <si>
    <t>365.152.628-33</t>
  </si>
  <si>
    <t>PEDRO HENRIQUE RODRIGUES DO AMARAL</t>
  </si>
  <si>
    <t>098.729.027-47</t>
  </si>
  <si>
    <t>FELLIPE AFFONSO SESSA</t>
  </si>
  <si>
    <t>473.382.408-41</t>
  </si>
  <si>
    <t>PEDRO PAULO MARTINS FERNANDES</t>
  </si>
  <si>
    <t>352.521.638-63</t>
  </si>
  <si>
    <t>DULCE ELISA VICTORIO CHAGAS</t>
  </si>
  <si>
    <t>094.488.398-20</t>
  </si>
  <si>
    <t>VINICIUS NOVAIS BENDELA</t>
  </si>
  <si>
    <t>110.214.987-00</t>
  </si>
  <si>
    <t>MARINA DE MOURA BORGES LEAL</t>
  </si>
  <si>
    <t>COORDENADOR E SUPERVISOR</t>
  </si>
  <si>
    <t>138.985.527-99</t>
  </si>
  <si>
    <t>CLOVIS GALDINO ALVES FILHO</t>
  </si>
  <si>
    <t>MACAE</t>
  </si>
  <si>
    <t>914.303.307-59</t>
  </si>
  <si>
    <t>MARINA LYRA PESSOA DE QUEIROZ</t>
  </si>
  <si>
    <t>388.815.268-24</t>
  </si>
  <si>
    <t>GILMAR ALVES DA SILVA JUNIOR</t>
  </si>
  <si>
    <t>052.568.649-55</t>
  </si>
  <si>
    <t>Vida Recusado;</t>
  </si>
  <si>
    <t>BARBARA DIAS SOARES VARGAS</t>
  </si>
  <si>
    <t>057.893.966-58</t>
  </si>
  <si>
    <t>LUCIANO TEIXEIRA HIPOLITO PERRONI</t>
  </si>
  <si>
    <t>Volta Redonda</t>
  </si>
  <si>
    <t>058.363.727-21</t>
  </si>
  <si>
    <t>MARIA CLARA VARGAS VIEIRA ASTRACHAN</t>
  </si>
  <si>
    <t>124.088.137-19</t>
  </si>
  <si>
    <t>LEONARDO BURLE FERRAZ DE OLIVEIRA</t>
  </si>
  <si>
    <t>173.766.597-22</t>
  </si>
  <si>
    <t>RODRIGO FIGUEIREDO DA SILVA COTTA</t>
  </si>
  <si>
    <t>107.802.687-41</t>
  </si>
  <si>
    <t>CRISTIANE COSTA</t>
  </si>
  <si>
    <t>303.362.438-39</t>
  </si>
  <si>
    <t>TAMYRIS ROXO</t>
  </si>
  <si>
    <t>348.909.798-08</t>
  </si>
  <si>
    <t>Vida Boletado;Open Finance;</t>
  </si>
  <si>
    <t>BERNARDO OLIVEIRA CAVALCANTI BARBOSA</t>
  </si>
  <si>
    <t>073.917.024-47</t>
  </si>
  <si>
    <t>ANA PAULA OSORIO FELGUEIRAS</t>
  </si>
  <si>
    <t>MILITAR EM GERAL</t>
  </si>
  <si>
    <t>147.369.567-80</t>
  </si>
  <si>
    <t>LEONARDO HENRIQUE PENHA DE OLIVEIRA</t>
  </si>
  <si>
    <t>441.894.998-46</t>
  </si>
  <si>
    <t>CAROLINA MORISHITA MAEDA FURLAN</t>
  </si>
  <si>
    <t>002.824.781-75</t>
  </si>
  <si>
    <t>CESAR ALVES MEIRA LATTES</t>
  </si>
  <si>
    <t>397.540.748-44</t>
  </si>
  <si>
    <t>TIAGO LOPES CORREA</t>
  </si>
  <si>
    <t>331.138.258-73</t>
  </si>
  <si>
    <t>DANIELLE SOARES RAMOS</t>
  </si>
  <si>
    <t>035.502.597-35</t>
  </si>
  <si>
    <t>WILLIAN ORTIZ LEDUR</t>
  </si>
  <si>
    <t>PALMEIRA DAS MISSOES</t>
  </si>
  <si>
    <t>027.564.190-28</t>
  </si>
  <si>
    <t>LIVIA SANCHES SANCIO</t>
  </si>
  <si>
    <t>115.124.027-37</t>
  </si>
  <si>
    <t>AUGUSTO MAGNO BARBOSA PINTO FARRAPEIRA</t>
  </si>
  <si>
    <t>004.291.319-50</t>
  </si>
  <si>
    <t>FABIO RESENDE BATISTA</t>
  </si>
  <si>
    <t>Goiânia</t>
  </si>
  <si>
    <t>008.784.651-97</t>
  </si>
  <si>
    <t>PRISCILLA MARIA MACEDO JALES</t>
  </si>
  <si>
    <t>322.786.558-09</t>
  </si>
  <si>
    <t>FELIPE NUNES DE OLIVEIRA</t>
  </si>
  <si>
    <t>413.377.928-29</t>
  </si>
  <si>
    <t>WALKER SOUZA LIMA</t>
  </si>
  <si>
    <t>081.315.427-85</t>
  </si>
  <si>
    <t>FERNANDO RUBINO ERNESTO</t>
  </si>
  <si>
    <t>RELACOES PUBLICAS</t>
  </si>
  <si>
    <t>212.704.918-73</t>
  </si>
  <si>
    <t>GUSTAVO KAZUO DA SILVA SAMPA</t>
  </si>
  <si>
    <t>409.064.498-47</t>
  </si>
  <si>
    <t>GABRIELA DIAS GARCIA DINIZ</t>
  </si>
  <si>
    <t>401.440.108-10</t>
  </si>
  <si>
    <t>MICHELLE DRUMOND ROCHA</t>
  </si>
  <si>
    <t>BIOLOGO E BIOMEDICO</t>
  </si>
  <si>
    <t>066.021.076-23</t>
  </si>
  <si>
    <t>JOSE FRANCISCO LUMMERTZ NETO</t>
  </si>
  <si>
    <t>224.328.339-53</t>
  </si>
  <si>
    <t>LUMA CURY ROMANTINI</t>
  </si>
  <si>
    <t>430.290.558-17</t>
  </si>
  <si>
    <t>RAPHAEL DA SILVA FRANÇA</t>
  </si>
  <si>
    <t>102.047.227-80</t>
  </si>
  <si>
    <t>ABILIO DE RESENDE CHAVES ANDRADE</t>
  </si>
  <si>
    <t>052.253.726-00</t>
  </si>
  <si>
    <t>EMILIA LUZ HELDT</t>
  </si>
  <si>
    <t>255.193.978-05</t>
  </si>
  <si>
    <t>JULIA SOARES SILVA</t>
  </si>
  <si>
    <t>016.070.771-40</t>
  </si>
  <si>
    <t>MARCELO DE CHATEAUBRIAND LUSTOSA BORGES PEREIRA</t>
  </si>
  <si>
    <t>000.953.751-12</t>
  </si>
  <si>
    <t>ARTHUR LUIZ RAMOS</t>
  </si>
  <si>
    <t>392.437.078-84</t>
  </si>
  <si>
    <t>BERNARDO BARBOSA DE CARVALHO</t>
  </si>
  <si>
    <t>054.392.527-70</t>
  </si>
  <si>
    <t>Vida Apresentado;Advisor Victor Q</t>
  </si>
  <si>
    <t>EDUARDO KISAHLEITNER</t>
  </si>
  <si>
    <t>258.486.598-00</t>
  </si>
  <si>
    <t>FERNANDO FERRAZ DE MIRANDA</t>
  </si>
  <si>
    <t>041.498.219-33</t>
  </si>
  <si>
    <t>LARISSA RODRIGUES AMARAL</t>
  </si>
  <si>
    <t>137.784.657-16</t>
  </si>
  <si>
    <t>DANIELA DIAS GARCIA DINIZ</t>
  </si>
  <si>
    <t>401.440.138-35</t>
  </si>
  <si>
    <t>FELIPE DE CAMARGO VIEIRA</t>
  </si>
  <si>
    <t>SANTO ANDRE</t>
  </si>
  <si>
    <t>410.341.818-40</t>
  </si>
  <si>
    <t>Advisor Victor Q;Open Finance;Vida Recusado;</t>
  </si>
  <si>
    <t>ERICH MARRA ROMANI</t>
  </si>
  <si>
    <t>SÃO PAULO</t>
  </si>
  <si>
    <t>294.882.188-60</t>
  </si>
  <si>
    <t>MARCIA MADEIRA DA SILVA</t>
  </si>
  <si>
    <t>791.830.938-34</t>
  </si>
  <si>
    <t>MARIA FLAVIA DE MELO GOMES</t>
  </si>
  <si>
    <t>234.832.548-97</t>
  </si>
  <si>
    <t>IVONE SACCHETTO MOREIRA</t>
  </si>
  <si>
    <t>Desquitado(a)</t>
  </si>
  <si>
    <t>831.126.007-97</t>
  </si>
  <si>
    <t>OTAVIO DUARTE IVANTES</t>
  </si>
  <si>
    <t>IGUARACU</t>
  </si>
  <si>
    <t>077.198.729-32</t>
  </si>
  <si>
    <t>EDILEUZA FERNANDES JALES</t>
  </si>
  <si>
    <t>510.910.207-44</t>
  </si>
  <si>
    <t>FABIO MUTARELLI</t>
  </si>
  <si>
    <t>188.564.368-33</t>
  </si>
  <si>
    <t>THIAGO ROBERTO FRONTEIRA</t>
  </si>
  <si>
    <t>332.987.108-30</t>
  </si>
  <si>
    <t>CARLOS RODRIGO LOPES DE CARLI</t>
  </si>
  <si>
    <t>342.426.848-86</t>
  </si>
  <si>
    <t>ALEXANDRE PACHECO NASSAR</t>
  </si>
  <si>
    <t>187.121.158-19</t>
  </si>
  <si>
    <t>LUIS NAPOLEAO DE ALENCASTRO GUIMARAES</t>
  </si>
  <si>
    <t>664.117.427-15</t>
  </si>
  <si>
    <t>RODRIGO MONTANARI NUNES</t>
  </si>
  <si>
    <t>148.712.497-00</t>
  </si>
  <si>
    <t>RAFAEL PULCINELLI</t>
  </si>
  <si>
    <t>088.949.217-43</t>
  </si>
  <si>
    <t>GUILHERME MOTTA GUNTER</t>
  </si>
  <si>
    <t>410.002.078-38</t>
  </si>
  <si>
    <t>JEFFERSON CARDOSO</t>
  </si>
  <si>
    <t>BLUMENAU</t>
  </si>
  <si>
    <t>024.632.949-14</t>
  </si>
  <si>
    <t>JOSE ALBERTO SQUARIZ DE MARCHI</t>
  </si>
  <si>
    <t>Santana de Parnaíba</t>
  </si>
  <si>
    <t>373.651.928-10</t>
  </si>
  <si>
    <t>JOAO VITOR VAZ DE SOUZA</t>
  </si>
  <si>
    <t>Mogi das Cruzes</t>
  </si>
  <si>
    <t>425.880.328-69</t>
  </si>
  <si>
    <t>MICHEL FREITAS MIUDO DE OLIVEIRA</t>
  </si>
  <si>
    <t>372.694.498-21</t>
  </si>
  <si>
    <t>RICHARD SCHRIJNEMAEKERS</t>
  </si>
  <si>
    <t>381.756.858-40</t>
  </si>
  <si>
    <t>PHILLIP SCHRIJNEMAEKERS</t>
  </si>
  <si>
    <t>370.247.058-17</t>
  </si>
  <si>
    <t>GUILHERME AUGUSTO NONO SPINOLA SALGADO</t>
  </si>
  <si>
    <t>397.420.148-33</t>
  </si>
  <si>
    <t>GUILHERME BALBINO CASTRO</t>
  </si>
  <si>
    <t>387.134.258-03</t>
  </si>
  <si>
    <t>PATRICIA KARINA BEZERRA TINOCO PRACA RODRIGUES</t>
  </si>
  <si>
    <t>026.512.154-06</t>
  </si>
  <si>
    <t>MARGARETH SANCHES SANCIO</t>
  </si>
  <si>
    <t>716.816.477-53</t>
  </si>
  <si>
    <t>FERNANDO JOSE BORGES FAGONI</t>
  </si>
  <si>
    <t>332.252.978-95</t>
  </si>
  <si>
    <t>SANDRA REGINA PEREZ DE LIMA COSTA</t>
  </si>
  <si>
    <t>038.818.837-54</t>
  </si>
  <si>
    <t>FABRIZIO GONCALVES MUSSO</t>
  </si>
  <si>
    <t>108.575.887-70</t>
  </si>
  <si>
    <t>LUCAS NUNES LUIGGI DE OLIVEIRA</t>
  </si>
  <si>
    <t>073.484.564-21</t>
  </si>
  <si>
    <t>CAROLINE COSTA NOGUEIRA</t>
  </si>
  <si>
    <t>420.062.178-95</t>
  </si>
  <si>
    <t>EDUARDO DA SILVA ALVES PEIXOTO</t>
  </si>
  <si>
    <t>134.421.107-00</t>
  </si>
  <si>
    <t>SAMUEL SCHMIDT FIGUEIRA DOS SANTOS</t>
  </si>
  <si>
    <t>049.947.169-51</t>
  </si>
  <si>
    <t>MARINA JACOB MARTINS</t>
  </si>
  <si>
    <t>365.051.058-83</t>
  </si>
  <si>
    <t>CAMILA DE JESUS LOPES CORREA</t>
  </si>
  <si>
    <t>375.260.598-73</t>
  </si>
  <si>
    <t>JOAO PEDRO CALCISCOV BELMONTE</t>
  </si>
  <si>
    <t>121.700.527-71</t>
  </si>
  <si>
    <t>LAYSA ZAGO DE FARIA CUSTODIO GOUVEIA</t>
  </si>
  <si>
    <t>361.982.358-82</t>
  </si>
  <si>
    <t>TATIANA MONTEIRO DE BARROS DESIATI</t>
  </si>
  <si>
    <t>259.849.038-06</t>
  </si>
  <si>
    <t>SERGIO DE MELLO LIMA</t>
  </si>
  <si>
    <t>TABELIAO</t>
  </si>
  <si>
    <t>551.585.797-68</t>
  </si>
  <si>
    <t>PEDRO ALBUQUERQUE CEARA MAIA</t>
  </si>
  <si>
    <t>SALVADOR</t>
  </si>
  <si>
    <t>855.611.935-20</t>
  </si>
  <si>
    <t>DANIELA LOPES VISCARDI</t>
  </si>
  <si>
    <t>228.181.278-23</t>
  </si>
  <si>
    <t>DEBORA CRISTIANE DE OLIVEIRA</t>
  </si>
  <si>
    <t>405.796.178-07</t>
  </si>
  <si>
    <t>ANDERSON PERES RODRIGUES</t>
  </si>
  <si>
    <t>281.977.248-06</t>
  </si>
  <si>
    <t>NATHALIA SCHRIJNEMAEKERS SILEMAN</t>
  </si>
  <si>
    <t>369.813.618-09</t>
  </si>
  <si>
    <t>LUCAS CORREA E CASTRO SANCHEZ</t>
  </si>
  <si>
    <t>151.812.737-18</t>
  </si>
  <si>
    <t>VANESSA IMPERATRICE DUARTE MILUZZI</t>
  </si>
  <si>
    <t>306.283.288-69</t>
  </si>
  <si>
    <t>MARIA CLAUDIA MEDEIROS DE ARAUJO</t>
  </si>
  <si>
    <t>667.369.007-00</t>
  </si>
  <si>
    <t>LEVON YEZEGUIELIAN NETO</t>
  </si>
  <si>
    <t>875.965.558-53</t>
  </si>
  <si>
    <t>UELTOM LIMA GOMES</t>
  </si>
  <si>
    <t>301.464.828-08</t>
  </si>
  <si>
    <t>Advisor Victor Q;</t>
  </si>
  <si>
    <t>PEDRO JORGE KINGSTON MUSSO</t>
  </si>
  <si>
    <t>509.172.007-30</t>
  </si>
  <si>
    <t>ANA LUCIA DE ALMEIDA GONCALVES</t>
  </si>
  <si>
    <t>628.375.407-49</t>
  </si>
  <si>
    <t>Vida Boletado;Advisor Victor Q</t>
  </si>
  <si>
    <t>PEDRO AUGUSTO DE CAMPOS LAVORENTI</t>
  </si>
  <si>
    <t>082.063.329-10</t>
  </si>
  <si>
    <t>VALERIA MACIEL DE CAMPOS LAVORENTI</t>
  </si>
  <si>
    <t>741.063.849-49</t>
  </si>
  <si>
    <t>GABRIELA APARECIDA BARON SIQUEIRA</t>
  </si>
  <si>
    <t>342.068.888-17</t>
  </si>
  <si>
    <t>LEONARDO DE ALMEIDA FROTA</t>
  </si>
  <si>
    <t>103.710.827-22</t>
  </si>
  <si>
    <t>LEONARDO GAZEN</t>
  </si>
  <si>
    <t>069.259.087-09</t>
  </si>
  <si>
    <t>VERENA SPOHR GONCALVES</t>
  </si>
  <si>
    <t>147.549.467-07</t>
  </si>
  <si>
    <t>MARCOS SONEGO MORGENTAL</t>
  </si>
  <si>
    <t>MILITAR REFORMADO</t>
  </si>
  <si>
    <t>SANTA MARIA</t>
  </si>
  <si>
    <t>021.488.910-65</t>
  </si>
  <si>
    <t>SAVIO JOSE DI GIORGI FERREIRA DE SOUZA</t>
  </si>
  <si>
    <t>Curitiba</t>
  </si>
  <si>
    <t>583.806.047-68</t>
  </si>
  <si>
    <t>CAROLINA BARDELLA ARATANGY</t>
  </si>
  <si>
    <t>286.711.198-66</t>
  </si>
  <si>
    <t>PEDRO LAMEIRAO CARLOS DE SOUZA</t>
  </si>
  <si>
    <t>135.479.557-18</t>
  </si>
  <si>
    <t>JESSICA D ORIO DANTAS DE OLIVEIRA</t>
  </si>
  <si>
    <t>368.554.668-69</t>
  </si>
  <si>
    <t>FELIPE DORNELAS ANICETO</t>
  </si>
  <si>
    <t>077.088.577-24</t>
  </si>
  <si>
    <t>FERNANDO BIZARRIA APARECIDO</t>
  </si>
  <si>
    <t>359.125.248-41</t>
  </si>
  <si>
    <t>DIEGO AKKARI RIBEIRO</t>
  </si>
  <si>
    <t>369.035.658-09</t>
  </si>
  <si>
    <t>JESSICA SCHMIDT PILZ</t>
  </si>
  <si>
    <t>410.528.508-47</t>
  </si>
  <si>
    <t>MARCO AURELIO SCANDIUZZI</t>
  </si>
  <si>
    <t>PILOTO DE AERONAVES</t>
  </si>
  <si>
    <t>099.203.468-02</t>
  </si>
  <si>
    <t>MARCUS VINICIUS REZENDE</t>
  </si>
  <si>
    <t>CONTADOR</t>
  </si>
  <si>
    <t>078.634.277-38</t>
  </si>
  <si>
    <t>ANA CAROLINA LOPES DE MORAES</t>
  </si>
  <si>
    <t>317.161.188-08</t>
  </si>
  <si>
    <t>RODRIGO DORIO DANTAS DE OLIVEIRA</t>
  </si>
  <si>
    <t>220.494.548-05</t>
  </si>
  <si>
    <t>GUSTAVO OLIVEIRA DE QUEIROZ GALVAO</t>
  </si>
  <si>
    <t>089.238.074-86</t>
  </si>
  <si>
    <t>MARINA DE ALMEIDA MEIRELES</t>
  </si>
  <si>
    <t>331.843.938-01</t>
  </si>
  <si>
    <t>JOAO GABRIEL RANGEL</t>
  </si>
  <si>
    <t>129.983.837-50</t>
  </si>
  <si>
    <t>ADEILDO DE SOUZA</t>
  </si>
  <si>
    <t>270.900.058-01</t>
  </si>
  <si>
    <t>MATHEUS RODRIGUES CHINAGLIA</t>
  </si>
  <si>
    <t>RIO GRANDE</t>
  </si>
  <si>
    <t>072.596.249-65</t>
  </si>
  <si>
    <t>CASSIANO DE OLIVEIRA MACHADO</t>
  </si>
  <si>
    <t>AGRONOMO</t>
  </si>
  <si>
    <t>Frederico Westphalen</t>
  </si>
  <si>
    <t>035.966.270-60</t>
  </si>
  <si>
    <t>EDMO FRAGA AMORIM</t>
  </si>
  <si>
    <t>374.202.327-68</t>
  </si>
  <si>
    <t>GUSTAVO SOUZA DE FARIA</t>
  </si>
  <si>
    <t>101.706.577-28</t>
  </si>
  <si>
    <t>MARCIO GONZALES SENDESKI</t>
  </si>
  <si>
    <t>MARINGÁ</t>
  </si>
  <si>
    <t>007.301.789-27</t>
  </si>
  <si>
    <t>GUILHERME PERES DOS SANTOS</t>
  </si>
  <si>
    <t>126.803.747-89</t>
  </si>
  <si>
    <t>BERNARDO SAFADY KAIUCA</t>
  </si>
  <si>
    <t>087.232.007-31</t>
  </si>
  <si>
    <t>LUANNA BRAZ DE LIMA FERREIRA DE SOUZA</t>
  </si>
  <si>
    <t>COLOMBO</t>
  </si>
  <si>
    <t>073.332.209-31</t>
  </si>
  <si>
    <t>STEFANO GATTI WEIGAND DE ANDRADE LIMA</t>
  </si>
  <si>
    <t>327.433.128-74</t>
  </si>
  <si>
    <t>TIAGO GOMES BENITEZ DOS SANTOS</t>
  </si>
  <si>
    <t>PROCURADOR E ASSEMELHADOS</t>
  </si>
  <si>
    <t>021.899.545-84</t>
  </si>
  <si>
    <t>CAICO MORAIS DE BRITO</t>
  </si>
  <si>
    <t>MOGI DAS CRUZES</t>
  </si>
  <si>
    <t>337.167.478-90</t>
  </si>
  <si>
    <t>MARCELLA CAMARA VIEIRA COHEN</t>
  </si>
  <si>
    <t>104.818.387-40</t>
  </si>
  <si>
    <t>EDUARDO CLARKSON LEBREIRO</t>
  </si>
  <si>
    <t>085.394.097-55</t>
  </si>
  <si>
    <t>Advisor Victor Q;Vida Apresentado;Open Finance;</t>
  </si>
  <si>
    <t>GISLEINE DE REZENDE ZARBIETTI</t>
  </si>
  <si>
    <t>SUZANO</t>
  </si>
  <si>
    <t>292.993.428-06</t>
  </si>
  <si>
    <t>VITORIA DE CARVALHO RAMOS</t>
  </si>
  <si>
    <t>152.430.237-60</t>
  </si>
  <si>
    <t>GUSTAVO JOSE GONCALVES DA SILVA</t>
  </si>
  <si>
    <t>757.437.367-15</t>
  </si>
  <si>
    <t>RODRIGO PINHATA</t>
  </si>
  <si>
    <t>290.963.048-02</t>
  </si>
  <si>
    <t>THOMAZ COCCHIARALI BELLUCCI</t>
  </si>
  <si>
    <t>319.142.168-81</t>
  </si>
  <si>
    <t>EDUARDO AKKARI RIBEIRO</t>
  </si>
  <si>
    <t>426.438.068-59</t>
  </si>
  <si>
    <t>ISABELA AKKARI RIBEIRO</t>
  </si>
  <si>
    <t>394.620.468-67</t>
  </si>
  <si>
    <t>RAFAELA SCHMIDT</t>
  </si>
  <si>
    <t>FONOAUDIOLOGO</t>
  </si>
  <si>
    <t>329.273.298-00</t>
  </si>
  <si>
    <t>RICARDO DA SILVA FRAZAO</t>
  </si>
  <si>
    <t>792.356.897-91</t>
  </si>
  <si>
    <t>APOENA SAPORETTI AZEVEDO PERISSE DE OLIVEIRA</t>
  </si>
  <si>
    <t>114.038.507-04</t>
  </si>
  <si>
    <t>RAFAEL JESUS LORENZO FORTES</t>
  </si>
  <si>
    <t>053.389.495-63</t>
  </si>
  <si>
    <t>DANIELA CAMPOS CARVALHO</t>
  </si>
  <si>
    <t>288.007.338-32</t>
  </si>
  <si>
    <t>VITOR MAZINI PEREIRA DE SOUZA</t>
  </si>
  <si>
    <t>284.108.348-98</t>
  </si>
  <si>
    <t>ANNA LUGLI</t>
  </si>
  <si>
    <t>344.373.278-02</t>
  </si>
  <si>
    <t>RAPHAEL FILIPE SILVA DE AZEREDO</t>
  </si>
  <si>
    <t>053.604.167-93</t>
  </si>
  <si>
    <t>MARCELLA GUEDES BORGES DA FONSECA</t>
  </si>
  <si>
    <t>142.268.527-61</t>
  </si>
  <si>
    <t>FLAVIA TANNUS NAZAR BACCHIN</t>
  </si>
  <si>
    <t>086.839.398-39</t>
  </si>
  <si>
    <t>MARTA REGINA BASTOS PEREIRA TESSARIN</t>
  </si>
  <si>
    <t>930.425.318-72</t>
  </si>
  <si>
    <t>JORGE LUIZ BREDA DE JESUS</t>
  </si>
  <si>
    <t>054.735.397-93</t>
  </si>
  <si>
    <t>ALBERTO GATTI COSTA MIGLIO</t>
  </si>
  <si>
    <t>115.959.157-10</t>
  </si>
  <si>
    <t>SARAH ORNELLAS MILANO</t>
  </si>
  <si>
    <t>284.194.638-09</t>
  </si>
  <si>
    <t>GUILHERME ALT DE ALMEIDA</t>
  </si>
  <si>
    <t>PELOTAS</t>
  </si>
  <si>
    <t>019.469.850-58</t>
  </si>
  <si>
    <t>SONIA LENY CAMPS ALT</t>
  </si>
  <si>
    <t>288.824.740-20</t>
  </si>
  <si>
    <t>JOICE BATISTA DE OLIVEIRA SILVA</t>
  </si>
  <si>
    <t>223.375.408-55</t>
  </si>
  <si>
    <t>CINTIA DE PAULA GONCALVES</t>
  </si>
  <si>
    <t>AUXILIAR DE ESCRITORIO E ASSEMELHADOS</t>
  </si>
  <si>
    <t>MURIAE</t>
  </si>
  <si>
    <t>022.975.216-00</t>
  </si>
  <si>
    <t>VICTOR FERNANDEZ DESIATI</t>
  </si>
  <si>
    <t>447.127.168-78</t>
  </si>
  <si>
    <t>MARIANNA DE MORAES REGO FOGACA</t>
  </si>
  <si>
    <t>129.912.057-17</t>
  </si>
  <si>
    <t>MARIA REGINA DE VASCONCELLOS BARBOSA</t>
  </si>
  <si>
    <t>PROFESSOR DE ENSINO SUPERIOR</t>
  </si>
  <si>
    <t>JOAO PESSOA</t>
  </si>
  <si>
    <t>464.006.647-34</t>
  </si>
  <si>
    <t>ADRIANA RABELLO FILGUEIRAS LIMA</t>
  </si>
  <si>
    <t>265.422.851-72</t>
  </si>
  <si>
    <t>MURILO JACOB MARTINS</t>
  </si>
  <si>
    <t>417.325.348-61</t>
  </si>
  <si>
    <t>Vida Apresentado;Vida Boletado</t>
  </si>
  <si>
    <t>EDUARDO FERNANDES CAZASSA</t>
  </si>
  <si>
    <t>304.164.408-86</t>
  </si>
  <si>
    <t>JUAREZ SOARES FOGACA</t>
  </si>
  <si>
    <t>847.526.457-34</t>
  </si>
  <si>
    <t>CARLOS AUGUSTO CYPRIANO JUNIOR</t>
  </si>
  <si>
    <t>VILA VELHA</t>
  </si>
  <si>
    <t>094.984.987-17</t>
  </si>
  <si>
    <t>MARIA DO CARMO MEDEIROS</t>
  </si>
  <si>
    <t>850.755.667-15</t>
  </si>
  <si>
    <t>RENE FERDINAND SCHRIJNEMAEKERS</t>
  </si>
  <si>
    <t>036.032.258-13</t>
  </si>
  <si>
    <t>VIVIANNE TARGINO SA E SOUSA</t>
  </si>
  <si>
    <t>020.415.363-81</t>
  </si>
  <si>
    <t>MARIA FERNANDA DE MELO GOMES</t>
  </si>
  <si>
    <t>383.885.818-21</t>
  </si>
  <si>
    <t>DANIELLE RODRIGUES LOPES</t>
  </si>
  <si>
    <t>055.061.357-93</t>
  </si>
  <si>
    <t>Open Finance;Advisor Victor Q</t>
  </si>
  <si>
    <t>BRUNO PEREIRA LIMA KAWAUTI</t>
  </si>
  <si>
    <t>337.891.948-59</t>
  </si>
  <si>
    <t>LUIZ CARLOS KISAHLEITNER</t>
  </si>
  <si>
    <t>277.037.208-44</t>
  </si>
  <si>
    <t>MARIA TERESA COSTA FERRAZ BORGES</t>
  </si>
  <si>
    <t>710.919.047-15</t>
  </si>
  <si>
    <t>CARLOS JOSE DOS SANTOS</t>
  </si>
  <si>
    <t>088.212.348-35</t>
  </si>
  <si>
    <t>ELISABETH BORGES LEAL DE SA CARVALHO</t>
  </si>
  <si>
    <t>375.979.067-49</t>
  </si>
  <si>
    <t>LUCAS LUZ SILVERIO FIGUEIREDO</t>
  </si>
  <si>
    <t>419.320.498-78</t>
  </si>
  <si>
    <t>CRISTINA LUCIA DUARTE PINHO</t>
  </si>
  <si>
    <t>184.372.141-49</t>
  </si>
  <si>
    <t>GRASIELA LEAL SANDBERG</t>
  </si>
  <si>
    <t>228.711.017-87</t>
  </si>
  <si>
    <t>JULIANA ARRAIS DE MORAIS MOREIRA MINASI</t>
  </si>
  <si>
    <t>014.158.471-85</t>
  </si>
  <si>
    <t>MARCELO DE ORNELLAS CANTARELLI</t>
  </si>
  <si>
    <t>Recife</t>
  </si>
  <si>
    <t>051.482.324-04</t>
  </si>
  <si>
    <t>RAFAEL DA SILVA BITTENCOURT</t>
  </si>
  <si>
    <t>055.635.647-03</t>
  </si>
  <si>
    <t>DANIEL QUEIROGA DUARTE DE LIMA</t>
  </si>
  <si>
    <t>408.001.558-58</t>
  </si>
  <si>
    <t>GUILHERME KENITI KASUGA MORYA</t>
  </si>
  <si>
    <t>366.227.038-25</t>
  </si>
  <si>
    <t>CAROLINE ELKIS</t>
  </si>
  <si>
    <t>360.962.898-78</t>
  </si>
  <si>
    <t>VANESSA MOREIRA DA SILVA PEREIRA</t>
  </si>
  <si>
    <t>AGENCIADOR DE PROPAGANDA</t>
  </si>
  <si>
    <t>089.837.577-01</t>
  </si>
  <si>
    <t>DEBORA FONTES DOS SANTOS</t>
  </si>
  <si>
    <t>212.729.658-30</t>
  </si>
  <si>
    <t>RAPHAEL AGUIAR DE FARIAS</t>
  </si>
  <si>
    <t>143.242.697-42</t>
  </si>
  <si>
    <t>KATIA PATROCINIO DE MELO</t>
  </si>
  <si>
    <t>360.113.047-53</t>
  </si>
  <si>
    <t>Vida Sem Perfil;Advisor Victor Q</t>
  </si>
  <si>
    <t>MARCUS LIVIO GOMES</t>
  </si>
  <si>
    <t>905.643.407-15</t>
  </si>
  <si>
    <t>ANDRE LUIZ FURUMOTO GONCALVES</t>
  </si>
  <si>
    <t>257.145.868-08</t>
  </si>
  <si>
    <t>Vida Recusado</t>
  </si>
  <si>
    <t>LEONARDO PEIXOTO GRANATO</t>
  </si>
  <si>
    <t>024.986.747-80</t>
  </si>
  <si>
    <t>LEONARDO CELESTINO FERNANDES</t>
  </si>
  <si>
    <t>092.043.587-42</t>
  </si>
  <si>
    <t>CECILIA MARIA FERREIRA DE SOUZA</t>
  </si>
  <si>
    <t>147.225.359-06</t>
  </si>
  <si>
    <t>MARCELA RODRIGUES DE FREITAS</t>
  </si>
  <si>
    <t>446.094.088-48</t>
  </si>
  <si>
    <t>MANUELA MELLO GUIMARAES</t>
  </si>
  <si>
    <t>124.687.997-20</t>
  </si>
  <si>
    <t>FLAVIA LOFIEGO</t>
  </si>
  <si>
    <t>033.930.577-07</t>
  </si>
  <si>
    <t>RAPHAEL PEDROSO DOS SANTOS</t>
  </si>
  <si>
    <t>227.184.178-03</t>
  </si>
  <si>
    <t>LEICA FROLICK VASCONCELOS</t>
  </si>
  <si>
    <t>463.922.037-53</t>
  </si>
  <si>
    <t>SOFIA MARIA FERREIRA DE SOUZA</t>
  </si>
  <si>
    <t>114.096.249-35</t>
  </si>
  <si>
    <t>MARINA MARTINS MAIA BRUNHOLI</t>
  </si>
  <si>
    <t>368.497.708-02</t>
  </si>
  <si>
    <t>DAVI ARRAIS MINASI</t>
  </si>
  <si>
    <t>075.535.911-90</t>
  </si>
  <si>
    <t>ELIZABETH TEIXEIRA DE MOURA</t>
  </si>
  <si>
    <t>885.156.307-10</t>
  </si>
  <si>
    <t>ATILA TIBURCIO MOLLICA BORDINI RACY</t>
  </si>
  <si>
    <t>173.793.467-17</t>
  </si>
  <si>
    <t>JULIANA NOTARI NASCIMENTO</t>
  </si>
  <si>
    <t>OLINDA</t>
  </si>
  <si>
    <t>031.048.314-08</t>
  </si>
  <si>
    <t>LUIZ CARLOS DUARTE</t>
  </si>
  <si>
    <t>643.753.317-04</t>
  </si>
  <si>
    <t>CAROLINE SONEGO MORGENTAL</t>
  </si>
  <si>
    <t>BALNEARIO CAMBORIU</t>
  </si>
  <si>
    <t>034.172.530-71</t>
  </si>
  <si>
    <t>CARMEM LUCIA GARCIA DE SOUSA</t>
  </si>
  <si>
    <t>BARRA DO PIRAI</t>
  </si>
  <si>
    <t>188.999.607-63</t>
  </si>
  <si>
    <t>CARLOS EDUARDO RUSSO</t>
  </si>
  <si>
    <t>040.964.378-59</t>
  </si>
  <si>
    <t>JULIANA DANTAS SILVA MAGALHAES</t>
  </si>
  <si>
    <t>117.551.197-80</t>
  </si>
  <si>
    <t>DANILLO LOPES DE MORAES BRANCO</t>
  </si>
  <si>
    <t>390.930.228-90</t>
  </si>
  <si>
    <t>DANIELA PEREIRA MADEIRA</t>
  </si>
  <si>
    <t>028.666.907-29</t>
  </si>
  <si>
    <t>RODRIGO CASTRO DE CAMPOS</t>
  </si>
  <si>
    <t>174.074.717-89</t>
  </si>
  <si>
    <t>TALICE BROCH RADEKE SUNDFELD</t>
  </si>
  <si>
    <t>004.987.249-48</t>
  </si>
  <si>
    <t>ANTONIO CARLOS DE JESUS</t>
  </si>
  <si>
    <t>084.758.798-37</t>
  </si>
  <si>
    <t>RODRIGO DE MAGALHAES VIEIRA</t>
  </si>
  <si>
    <t>VENDEDOR PRACISTA, REPRESENT COMERCIAL, CAIXEIRO VIAJANTE</t>
  </si>
  <si>
    <t>775.381.887-20</t>
  </si>
  <si>
    <t>BERNADETH CORREA COIMBRA</t>
  </si>
  <si>
    <t>090.396.888-69</t>
  </si>
  <si>
    <t>EDUARD LEAL CLAASSEN</t>
  </si>
  <si>
    <t>898.949.017-00</t>
  </si>
  <si>
    <t>RAFAEL GONCALVES DE CARVALHO</t>
  </si>
  <si>
    <t>029.463.697-81</t>
  </si>
  <si>
    <t>MARCOS BERNARDES COZZOLINO DO NASCIMENTO</t>
  </si>
  <si>
    <t>186.497.771-04</t>
  </si>
  <si>
    <t>MARCUS VINICIUS DE ABREU E SILVA BUSCHMANN</t>
  </si>
  <si>
    <t>071.596.967-60</t>
  </si>
  <si>
    <t>FERNANDA PEREIRA DA SILVA NASSIF</t>
  </si>
  <si>
    <t>160.528.697-47</t>
  </si>
  <si>
    <t>JULIA GAZINEU MACHADO SANCHES</t>
  </si>
  <si>
    <t>118.298.927-62</t>
  </si>
  <si>
    <t>EDSON DE ANGELO</t>
  </si>
  <si>
    <t>219.323.287-34</t>
  </si>
  <si>
    <t>GABRIEL PARREIRAS HORTA GUERRA</t>
  </si>
  <si>
    <t>107.419.167-62</t>
  </si>
  <si>
    <t>Advisor Victor Q;Vida Recusado;</t>
  </si>
  <si>
    <t>LUIZA MARTINS VIEIRA</t>
  </si>
  <si>
    <t>753.367.077-91</t>
  </si>
  <si>
    <t>FERNANDO KIMURA</t>
  </si>
  <si>
    <t>026.000.917-26</t>
  </si>
  <si>
    <t>MILANNA CHAVES NAGIB</t>
  </si>
  <si>
    <t>PROFISSIONAIS DE LETRAS E DE ARTES</t>
  </si>
  <si>
    <t>CABO FRIO</t>
  </si>
  <si>
    <t>137.783.137-03</t>
  </si>
  <si>
    <t>ANA CRISTINA LUCIANO</t>
  </si>
  <si>
    <t>089.965.168-21</t>
  </si>
  <si>
    <t>ALUISIO ANTONIO FIGUEIREDO COSTA MOREIRA</t>
  </si>
  <si>
    <t>087.222.497-02</t>
  </si>
  <si>
    <t>ALICE DE CASTRO SA</t>
  </si>
  <si>
    <t>143.274.287-60</t>
  </si>
  <si>
    <t>RAFAEL CARLOS DE CASTRO RODRIGUES</t>
  </si>
  <si>
    <t>043.797.307-78</t>
  </si>
  <si>
    <t>LUCAS VIEIRA UCHOA</t>
  </si>
  <si>
    <t>144.870.447-23</t>
  </si>
  <si>
    <t>PAULO AUGUSTO DE ARRUDA MELLO</t>
  </si>
  <si>
    <t>567.001.998-91</t>
  </si>
  <si>
    <t>ALINE SILVA NOGUEIRA</t>
  </si>
  <si>
    <t>024.077.457-44</t>
  </si>
  <si>
    <t>ROBERTA RACCIOPPI ROCHA CORREA</t>
  </si>
  <si>
    <t>279.354.438-82</t>
  </si>
  <si>
    <t>GABRIEL ALIPIO DE ALMEIDA TEIXEIRA</t>
  </si>
  <si>
    <t>439.500.978-64</t>
  </si>
  <si>
    <t>VICENTE DE ASSIS MESQUITA SOARES</t>
  </si>
  <si>
    <t>DELEGADO DE POLICIA</t>
  </si>
  <si>
    <t>116.579.627-92</t>
  </si>
  <si>
    <t>OSANA KLINGELHOEFER DE ARAUJO ALMEIDA</t>
  </si>
  <si>
    <t>100.300.467-93</t>
  </si>
  <si>
    <t>RAFAELLA BRAZIL MALAGUTI</t>
  </si>
  <si>
    <t>150.010.717-47</t>
  </si>
  <si>
    <t>RAISSA BELKISS DAL BEN TRUITE</t>
  </si>
  <si>
    <t>377.815.838-41</t>
  </si>
  <si>
    <t>NAIR DE PAULA SOARES</t>
  </si>
  <si>
    <t>001.203.257-30</t>
  </si>
  <si>
    <t>FREDERICO SILVA DANTAS</t>
  </si>
  <si>
    <t>080.973.657-82</t>
  </si>
  <si>
    <t>Advisor Victor Q;Open Finance;Vida Boletado</t>
  </si>
  <si>
    <t>THEO MONTEIRO PEREIRA BORBA</t>
  </si>
  <si>
    <t>160.698.647-35</t>
  </si>
  <si>
    <t>SERGIO FERRAZ DE CAMPOS LUCIANO</t>
  </si>
  <si>
    <t>SERVIDOR PUBLICO ESTADUAL</t>
  </si>
  <si>
    <t>073.174.538-89</t>
  </si>
  <si>
    <t>LARISSA TORRES CARVALHO</t>
  </si>
  <si>
    <t>418.858.318-54</t>
  </si>
  <si>
    <t>RENATO FABIO ALVES PEREIRA</t>
  </si>
  <si>
    <t>138.884.407-93</t>
  </si>
  <si>
    <t>TANIA REGINA PATROCINIO DE MELO</t>
  </si>
  <si>
    <t>AGENTE ADMINISTRATIVO</t>
  </si>
  <si>
    <t>403.342.107-63</t>
  </si>
  <si>
    <t>CIRO BARBOSA CURY</t>
  </si>
  <si>
    <t>São José do Rio Preto</t>
  </si>
  <si>
    <t>349.461.568-36</t>
  </si>
  <si>
    <t>MARIA CELIA DUARTE RODRIGUES FERNANDES</t>
  </si>
  <si>
    <t>146.441.568-41</t>
  </si>
  <si>
    <t>VALERIA GUIDON ROXO</t>
  </si>
  <si>
    <t>099.808.198-12</t>
  </si>
  <si>
    <t>EDUARDO FIGUEIRA</t>
  </si>
  <si>
    <t>822.641.557-87</t>
  </si>
  <si>
    <t>GUILLERMO DANIEL TIZON</t>
  </si>
  <si>
    <t>213.870.968-00</t>
  </si>
  <si>
    <t>ARTHUR FERNANDES MARTINS FIGUEIRA</t>
  </si>
  <si>
    <t>147.368.947-33</t>
  </si>
  <si>
    <t>LEANDRO BRUNO PESSOA DA SILVA</t>
  </si>
  <si>
    <t>111.036.567-59</t>
  </si>
  <si>
    <t>PIETRO MANDETTA</t>
  </si>
  <si>
    <t>415.246.808-42</t>
  </si>
  <si>
    <t>RUBENS FURLAN JUNIOR</t>
  </si>
  <si>
    <t>339.067.178-10</t>
  </si>
  <si>
    <t>MATHEUS REIS RIBEIRO</t>
  </si>
  <si>
    <t>MANAUS</t>
  </si>
  <si>
    <t>540.722.392-91</t>
  </si>
  <si>
    <t>CAMILA DE ALMEIDA BARANA RISO</t>
  </si>
  <si>
    <t>387.833.908-98</t>
  </si>
  <si>
    <t>ALAN LIRA VIEIRA</t>
  </si>
  <si>
    <t>076.424.007-21</t>
  </si>
  <si>
    <t>RAPHAEL ESQUIVE UEDA</t>
  </si>
  <si>
    <t>SANTA BARBARA D'OESTE</t>
  </si>
  <si>
    <t>388.595.328-50</t>
  </si>
  <si>
    <t>SILVINEIA ADRIANA RIGONATTI DE ARAUJO</t>
  </si>
  <si>
    <t>258.929.708-41</t>
  </si>
  <si>
    <t>WILLIAM FERREIRA COSTA</t>
  </si>
  <si>
    <t>412.794.328-96</t>
  </si>
  <si>
    <t>JOAO MARCO DE LUCIA SICILIANO</t>
  </si>
  <si>
    <t>439.535.958-22</t>
  </si>
  <si>
    <t>GUILHERME NOGUEIRA DAME LUZ</t>
  </si>
  <si>
    <t>352.581.728-21</t>
  </si>
  <si>
    <t>THAILA AYALA SALES</t>
  </si>
  <si>
    <t>ATOR E DIRETOR DE ESPETACULOS PUBLICOS</t>
  </si>
  <si>
    <t>353.350.648-70</t>
  </si>
  <si>
    <t>RICARDO AUGUSTO COTRIM DE CARVALHO</t>
  </si>
  <si>
    <t>RIO DAS OSTRAS</t>
  </si>
  <si>
    <t>224.325.407-78</t>
  </si>
  <si>
    <t>ANDERSON PIMENTEL OLYMPIO</t>
  </si>
  <si>
    <t>313.762.508-45</t>
  </si>
  <si>
    <t>ANTONIO JOSE DO NASCIMENTO</t>
  </si>
  <si>
    <t>131.186.503-97</t>
  </si>
  <si>
    <t>MAXWELL ALEXANDRE DA SILVA</t>
  </si>
  <si>
    <t>TRABALHADOR DE ARTES GRAFICAS</t>
  </si>
  <si>
    <t>139.283.317-52</t>
  </si>
  <si>
    <t>RODRIGO BELLETTI JACOBI</t>
  </si>
  <si>
    <t>361.450.818-80</t>
  </si>
  <si>
    <t>DANIEL MARTINS FREITAS</t>
  </si>
  <si>
    <t>127.492.777-36</t>
  </si>
  <si>
    <t>SAULO BERNARD LOPES DE SOUZA THIERS</t>
  </si>
  <si>
    <t>051.415.137-42</t>
  </si>
  <si>
    <t>SONIA RABELLO FILGUEIRAS LIMA</t>
  </si>
  <si>
    <t>418.071.541-49</t>
  </si>
  <si>
    <t>ANTONIO VALENTIM SANCIO</t>
  </si>
  <si>
    <t>SANTA TERESA</t>
  </si>
  <si>
    <t>478.412.067-04</t>
  </si>
  <si>
    <t>TIAGO CRESPO DE FIGUEIREDO RODRIGUES</t>
  </si>
  <si>
    <t>082.942.587-09</t>
  </si>
  <si>
    <t>GUILHERME ALFREDO BRECHBUHLER DE PINHO</t>
  </si>
  <si>
    <t>079.860.648-70</t>
  </si>
  <si>
    <t>MAYRA ARCANJO DE OLIVEIRA</t>
  </si>
  <si>
    <t>227.910.288-97</t>
  </si>
  <si>
    <t>CLARA SANCHES SANCIO</t>
  </si>
  <si>
    <t>115.124.127-08</t>
  </si>
  <si>
    <t>FREDERICO SAPORETTI AZEVEDO</t>
  </si>
  <si>
    <t>516.918.767-04</t>
  </si>
  <si>
    <t>CAIO VARELA MAIA</t>
  </si>
  <si>
    <t>180.072.947-24</t>
  </si>
  <si>
    <t>GILBERTO ELKIS</t>
  </si>
  <si>
    <t>011.748.248-08</t>
  </si>
  <si>
    <t>RAFAEL BELLETTI JACOBI</t>
  </si>
  <si>
    <t>390.453.458-03</t>
  </si>
  <si>
    <t>LEANDRO CABRAL MARQUES</t>
  </si>
  <si>
    <t>217.323.118-97</t>
  </si>
  <si>
    <t>JULIANO MARTINS</t>
  </si>
  <si>
    <t>276.496.978-35</t>
  </si>
  <si>
    <t>CRISTINA NAYARA ONAGA OYAKAWA</t>
  </si>
  <si>
    <t>306.931.078-80</t>
  </si>
  <si>
    <t>ROSANA GONCALVES CAMPOS NUNES</t>
  </si>
  <si>
    <t>250.084.948-13</t>
  </si>
  <si>
    <t>LUCIANA SHIMIZU MORYA</t>
  </si>
  <si>
    <t>COTIA</t>
  </si>
  <si>
    <t>353.625.228-17</t>
  </si>
  <si>
    <t>GABRIEL CAJUEIRO</t>
  </si>
  <si>
    <t>PROPRIETARIO DE ESTABELECIMENTO COMERCIAL</t>
  </si>
  <si>
    <t>VALINHOS</t>
  </si>
  <si>
    <t>349.561.608-01</t>
  </si>
  <si>
    <t>MARIA ALICE LOPES KIMURA</t>
  </si>
  <si>
    <t>126.899.538-03</t>
  </si>
  <si>
    <t>LIZ FERNANDA RIZZOLLI PRIETO</t>
  </si>
  <si>
    <t>312.505.018-90</t>
  </si>
  <si>
    <t>RENATA CAVALCANTE DARBEN</t>
  </si>
  <si>
    <t>NOVA ODESSA</t>
  </si>
  <si>
    <t>296.274.368-44</t>
  </si>
  <si>
    <t>HUGO SODRE MEDRADO</t>
  </si>
  <si>
    <t>028.006.195-11</t>
  </si>
  <si>
    <t>JOAO GABRIEL PEREIRA SILVA LOPES</t>
  </si>
  <si>
    <t>309.316.918-69</t>
  </si>
  <si>
    <t>CHIRLEIA RABELO ALVES</t>
  </si>
  <si>
    <t>160.031.298-59</t>
  </si>
  <si>
    <t>SERGIO VIEIRA BERNARDINO JUNIOR</t>
  </si>
  <si>
    <t>359.022.288-32</t>
  </si>
  <si>
    <t>VINICIUS SERRA VIEIRA BERNARDINO</t>
  </si>
  <si>
    <t>379.911.018-60</t>
  </si>
  <si>
    <t>SANTIAGO RIBEIRO SERRA VIEIRA</t>
  </si>
  <si>
    <t>141.563.227-85</t>
  </si>
  <si>
    <t>ARMINDA CELESTE DA SILVA AZEREDO</t>
  </si>
  <si>
    <t>023.384.047-85</t>
  </si>
  <si>
    <t>CAROLINA CALDAS DEMORI</t>
  </si>
  <si>
    <t>055.291.597-10</t>
  </si>
  <si>
    <t>MARIA EUGENIA FERNANDES DE VALERIO</t>
  </si>
  <si>
    <t>708.990.027-49</t>
  </si>
  <si>
    <t>CAROLINA NUNES REIS</t>
  </si>
  <si>
    <t>131.063.757-10</t>
  </si>
  <si>
    <t>BRUNA GUERRERO GAZIGE JACOBI</t>
  </si>
  <si>
    <t>406.778.448-16</t>
  </si>
  <si>
    <t>ANA PAULA DE ARAUJO MARQUES</t>
  </si>
  <si>
    <t>023.544.017-52</t>
  </si>
  <si>
    <t>EDUARDO DA CUNHA BASTOS</t>
  </si>
  <si>
    <t>190.502.167-49</t>
  </si>
  <si>
    <t>ISABELA CERQUEIRA CARDOSO</t>
  </si>
  <si>
    <t>127.257.217-09</t>
  </si>
  <si>
    <t>LAURA MONARCHA BASTOS</t>
  </si>
  <si>
    <t>039.310.137-15</t>
  </si>
  <si>
    <t>ALLAN RODRIGUES WEBER</t>
  </si>
  <si>
    <t>138.083.997-16</t>
  </si>
  <si>
    <t>BERNARDO PALATNIK</t>
  </si>
  <si>
    <t>099.068.777-58</t>
  </si>
  <si>
    <t>FERNANDO DE BARROS BARRETO DO AMARAL</t>
  </si>
  <si>
    <t>295.721.937-91</t>
  </si>
  <si>
    <t>MARIA CLARA RODRIGUES DO AMARAL</t>
  </si>
  <si>
    <t>112.372.337-04</t>
  </si>
  <si>
    <t>REGINA MARIA CARVALHO ANGELO</t>
  </si>
  <si>
    <t>715.169.307-97</t>
  </si>
  <si>
    <t>PEDRO ALEX VICTORIO CHAGAS</t>
  </si>
  <si>
    <t>398.688.848-96</t>
  </si>
  <si>
    <t>ANDRE NICHOLAS VICTORIO CHAGAS</t>
  </si>
  <si>
    <t>460.474.248-05</t>
  </si>
  <si>
    <t>ISADHORA MLLER</t>
  </si>
  <si>
    <t>407.529.608-30</t>
  </si>
  <si>
    <t>MIGUEL DE ABREU KAUARK CHIANCA</t>
  </si>
  <si>
    <t>164.951.927-38</t>
  </si>
  <si>
    <t>RENATA PRADO KAIUCA</t>
  </si>
  <si>
    <t>090.618.217-46</t>
  </si>
  <si>
    <t>123PROJETEI SERVICOS DE ENGENHARIA LTDA</t>
  </si>
  <si>
    <t>SERVICOS AUXILIARES DIVERSOS</t>
  </si>
  <si>
    <t>RS</t>
  </si>
  <si>
    <t>22.726.348/0001-01</t>
  </si>
  <si>
    <t>5 BOCAS COMERCIO DE OBJETOS DE ARTES LTDA</t>
  </si>
  <si>
    <t>COMERCIO VAREJISTA</t>
  </si>
  <si>
    <t>RJ</t>
  </si>
  <si>
    <t>51.690.941/0001-35</t>
  </si>
  <si>
    <t>A G C MIGLIO PRODUCOES FOTOGRAFICAS</t>
  </si>
  <si>
    <t>ATIVIDADE NAO RELACIONADA</t>
  </si>
  <si>
    <t>22.430.521/0001-11</t>
  </si>
  <si>
    <t>ACTION CONSULTORIA E PARTICIPACOES LTDA</t>
  </si>
  <si>
    <t>01.008.462/0001-18</t>
  </si>
  <si>
    <t>AGETRAN - CONSULTORIA PLANEJAMENTO E INCORPORACAO LTDA</t>
  </si>
  <si>
    <t>HOLDING - CONTROLADORA DE PARTICIPACAO</t>
  </si>
  <si>
    <t>PR</t>
  </si>
  <si>
    <t>76.416.718/0001-25</t>
  </si>
  <si>
    <t>ALL SPACE PROPAGANDA E MARKETING LTDA</t>
  </si>
  <si>
    <t>SP</t>
  </si>
  <si>
    <t>54.219.084/0001-88</t>
  </si>
  <si>
    <t>AMC ACADEMIA E ENSINO DE ESPORTES LTDA</t>
  </si>
  <si>
    <t>33.582.904/0001-21</t>
  </si>
  <si>
    <t>AMF ASSESSORIA E MARKETING ESPORTIVO LTDA</t>
  </si>
  <si>
    <t>43.908.099/0001-37</t>
  </si>
  <si>
    <t>APR RISCOS CORRETORA DE SEGUROS LTDA</t>
  </si>
  <si>
    <t>44.386.288/0001-50</t>
  </si>
  <si>
    <t>ART TECH GATTI LTDA</t>
  </si>
  <si>
    <t>44.524.267/0001-53</t>
  </si>
  <si>
    <t>B&amp;B HOTELS BRASIL HOTELARIA E INVESTIMENTOS LTDA</t>
  </si>
  <si>
    <t>SERVICOS DE ALOJAMENTO E ALIMENTACAO</t>
  </si>
  <si>
    <t>21.211.330/0001-04</t>
  </si>
  <si>
    <t>BE HAPPY VIAGENS E TURISMO LTDA</t>
  </si>
  <si>
    <t>01.202.742/0001-62</t>
  </si>
  <si>
    <t>BECKER, BRUZZI &amp; LAMEIRAO ADVOGADOS</t>
  </si>
  <si>
    <t>45.368.352/0001-32</t>
  </si>
  <si>
    <t>BJ DISTRIBUIDORA LTDA</t>
  </si>
  <si>
    <t>PIEDADE</t>
  </si>
  <si>
    <t>46.451.497/0001-65</t>
  </si>
  <si>
    <t>BK TECNOLOGIA DA INFORMACAO LTDA</t>
  </si>
  <si>
    <t>DF</t>
  </si>
  <si>
    <t>12.625.657/0001-23</t>
  </si>
  <si>
    <t>BOCA ROSA COMPANY LTDA</t>
  </si>
  <si>
    <t>22.694.602/0001-29</t>
  </si>
  <si>
    <t>BRENDA COMUNICACAO E CONSULTORIA DE MARKETING LTDA</t>
  </si>
  <si>
    <t>PE</t>
  </si>
  <si>
    <t>15.444.106/0001-51</t>
  </si>
  <si>
    <t>BV1 EMPREENDIMENTO IMOBILIARIO SPE LTDA</t>
  </si>
  <si>
    <t>INDUSTRIA DA CONSTRUCAO</t>
  </si>
  <si>
    <t>28.019.060/0001-75</t>
  </si>
  <si>
    <t>BV2 EMPREENDIMENTO IMOBILIARIO SPE LTDA</t>
  </si>
  <si>
    <t>28.966.294/0001-20</t>
  </si>
  <si>
    <t>CAJUEIRO EMPREENDIMENTOS IMOBILIARIOS LTDA</t>
  </si>
  <si>
    <t>51.092.279/0001-11</t>
  </si>
  <si>
    <t>CALTIM FERTILIZANTES LTDA</t>
  </si>
  <si>
    <t>INDUSTRIA QUIMICA</t>
  </si>
  <si>
    <t>RIO BRANCO DO SUL</t>
  </si>
  <si>
    <t>23.747.315/0001-00</t>
  </si>
  <si>
    <t>CARLOS COSTA INTERMEDIACAO E AGENCIAMENTO LTDA</t>
  </si>
  <si>
    <t>Teresópolis</t>
  </si>
  <si>
    <t>40.139.220/0001-15</t>
  </si>
  <si>
    <t>CATEDRA ENGENHARIA LTDA</t>
  </si>
  <si>
    <t>04.768.762/0001-93</t>
  </si>
  <si>
    <t>CAVIUNA EMPREENDIMENTOS E PARTICIPACOES LTDA</t>
  </si>
  <si>
    <t>16.593.734/0001-61</t>
  </si>
  <si>
    <t>CCN - COMERCIAL CENTRO NORTE ALIMENTOS LTDA</t>
  </si>
  <si>
    <t>COMERCIO ATACADISTA</t>
  </si>
  <si>
    <t>Nova Friburgo</t>
  </si>
  <si>
    <t>08.638.790/0001-47</t>
  </si>
  <si>
    <t>Ativo Corporate;Squad Corporate;Moderado</t>
  </si>
  <si>
    <t>CEGIM - EMPREENDIMENTOS E PARTICIPACOES LTDA</t>
  </si>
  <si>
    <t>11.050.819/0001-80</t>
  </si>
  <si>
    <t>CIDEMAD-INDUSTRIA, COM. E EXPORTACAO DE MADEIRAS LTDA</t>
  </si>
  <si>
    <t>INDUSTRIA DE MADEIRA</t>
  </si>
  <si>
    <t>MACHADINHO D'OESTE</t>
  </si>
  <si>
    <t>RO</t>
  </si>
  <si>
    <t>05.003.243/0001-05</t>
  </si>
  <si>
    <t>CLINICA DE OLHOS ARRUDA MELLO S/S</t>
  </si>
  <si>
    <t>SERVICOS DE SAUDE</t>
  </si>
  <si>
    <t>62.033.717/0001-97</t>
  </si>
  <si>
    <t>CLUSTER REPLY INFORMATICA LTDA.</t>
  </si>
  <si>
    <t>08.261.247/0001-73</t>
  </si>
  <si>
    <t>COMBA INDUSTRIA E COMERCIO DE EQUIPAMENTOS DE TELECOMUNICACOES LTDA.</t>
  </si>
  <si>
    <t>08.216.577/0001-47</t>
  </si>
  <si>
    <t>COMBA REDES E SISTEMAS INTEGRADOS DO BRASIL LTDA</t>
  </si>
  <si>
    <t>42.443.605/0001-05</t>
  </si>
  <si>
    <t>COMERCIAL HELLO BRASIL LTDA</t>
  </si>
  <si>
    <t>Queimados</t>
  </si>
  <si>
    <t>09.437.886/0001-00</t>
  </si>
  <si>
    <t>CONDOMINIO RESIDENCIAL VILA REAL SPE LTDA</t>
  </si>
  <si>
    <t>26.245.561/0001-44</t>
  </si>
  <si>
    <t>CONSELHO COM CLASSE LTDA</t>
  </si>
  <si>
    <t>ENSINO</t>
  </si>
  <si>
    <t>55.121.566/0001-63</t>
  </si>
  <si>
    <t>DOF SUBSEA BRASIL SERVICOS LTDA</t>
  </si>
  <si>
    <t>SERVICOS DE TRANSPORTE</t>
  </si>
  <si>
    <t>07.925.451/0001-89</t>
  </si>
  <si>
    <t>EDUTALENT LTDA</t>
  </si>
  <si>
    <t>49.422.367/0001-92</t>
  </si>
  <si>
    <t>ELBR CONSTRUCOES E PARTICIPACOES LTDA</t>
  </si>
  <si>
    <t>48.860.113/0001-93</t>
  </si>
  <si>
    <t>EMPCON EMPREENDIMENTOS - SPE - LTDA</t>
  </si>
  <si>
    <t>54.491.901/0001-52</t>
  </si>
  <si>
    <t>ENGEGRAUT GEOTECNIA E ENGENHARIA LTDA</t>
  </si>
  <si>
    <t>07.308.747/0001-50</t>
  </si>
  <si>
    <t>EORA BRAND LTDA</t>
  </si>
  <si>
    <t>51.595.087/0001-28</t>
  </si>
  <si>
    <t>ESP HOLDING IMOBILIARIA LTDA</t>
  </si>
  <si>
    <t>49.805.624/0001-75</t>
  </si>
  <si>
    <t>EXCLUSIVA COMERCIO DE MATERIAL HOSPITALAR LTDA</t>
  </si>
  <si>
    <t>08.562.196/0001-10</t>
  </si>
  <si>
    <t>FALCONI SEGURANCA CIBERNETICA PARTICIPACOES LTDA</t>
  </si>
  <si>
    <t>43.460.076/0001-02</t>
  </si>
  <si>
    <t>FERROLESTE LTDA</t>
  </si>
  <si>
    <t>PICOS</t>
  </si>
  <si>
    <t>PI</t>
  </si>
  <si>
    <t>01.972.480/0002-04</t>
  </si>
  <si>
    <t>01.972.480/0001-15</t>
  </si>
  <si>
    <t>FINANTI COBRANCAS E PARTICIPACOES LTDA</t>
  </si>
  <si>
    <t>46.852.200/0001-73</t>
  </si>
  <si>
    <t>FLANACAR COMERCIO DE AUTO-PECAS LTDA</t>
  </si>
  <si>
    <t>ARACARIGUAMA</t>
  </si>
  <si>
    <t>96.312.889/0001-11</t>
  </si>
  <si>
    <t>FLOWERMED LTDA</t>
  </si>
  <si>
    <t>47.519.920/0001-84</t>
  </si>
  <si>
    <t>FOTOTERRA ATIVIDADES DE AEROLEVANTAMENTOS LTDA</t>
  </si>
  <si>
    <t>72.857.345/0001-77</t>
  </si>
  <si>
    <t>FRONTIER SERVICOS ESPECIALIZADOS LTDA</t>
  </si>
  <si>
    <t>07.952.819/0001-06</t>
  </si>
  <si>
    <t>GC SISTEMAS DE TECNOLOGIA E SEGURANCA S.A.</t>
  </si>
  <si>
    <t>10.445.561/0001-58</t>
  </si>
  <si>
    <t>GIROSS TECNOLOGIA BRASIL LTDA</t>
  </si>
  <si>
    <t>Brumado</t>
  </si>
  <si>
    <t>BA</t>
  </si>
  <si>
    <t>25.224.836/0001-09</t>
  </si>
  <si>
    <t>GLP GAS DISTRIBUIDORA DE GAS LTDA</t>
  </si>
  <si>
    <t>00.195.690/0001-81</t>
  </si>
  <si>
    <t>GMAIS COMERCIO DE ALIMENTOS LTDA</t>
  </si>
  <si>
    <t>BONITO</t>
  </si>
  <si>
    <t>MS</t>
  </si>
  <si>
    <t>33.168.717/0001-04</t>
  </si>
  <si>
    <t>GONCALVES E CARVALHO ADVOGADOS ASSOCIADOS</t>
  </si>
  <si>
    <t>42.528.114/0001-59</t>
  </si>
  <si>
    <t>GOOD KARMA VENTURES GESTORA DE RECURSOS LTDA</t>
  </si>
  <si>
    <t>39.454.389/0001-80</t>
  </si>
  <si>
    <t>GOOD VI COMERCIO E SERVICOS LTDA</t>
  </si>
  <si>
    <t>37.835.262/0001-86</t>
  </si>
  <si>
    <t>HABITARE EMPREENDIMENTOS E PARTICIPACOES S.A.</t>
  </si>
  <si>
    <t>37.241.027/0001-86</t>
  </si>
  <si>
    <t>IGOR COELHO SOCIEDADE INDIVIDUAL DE ADVOCACIA</t>
  </si>
  <si>
    <t>BELO HORIZONTE</t>
  </si>
  <si>
    <t>MG</t>
  </si>
  <si>
    <t>38.246.933/0001-36</t>
  </si>
  <si>
    <t>IGS INDUSTRIAL GLOBAL SOURCING COMERCIO IMPORTACAO E EXPORTACAO LTDA</t>
  </si>
  <si>
    <t>19.814.247/0001-70</t>
  </si>
  <si>
    <t>INSTITUTO DAC LTDA</t>
  </si>
  <si>
    <t>41.621.763/0001-37</t>
  </si>
  <si>
    <t>INTER-METRO - SERVICOS ESPECIAIS LTDA</t>
  </si>
  <si>
    <t>00.450.326/0001-10</t>
  </si>
  <si>
    <t>INVESTIDORES.VC LTDA</t>
  </si>
  <si>
    <t>37.075.029/0001-42</t>
  </si>
  <si>
    <t>IT2 EMPREENDIMENTO IMOBILIARIO SPE LTDA</t>
  </si>
  <si>
    <t>30.186.734/0001-78</t>
  </si>
  <si>
    <t>JARDINS CASA E CONSTRUCAO LTDA</t>
  </si>
  <si>
    <t>64.008.857/0001-30</t>
  </si>
  <si>
    <t>K&amp;P NEGOCIOS DIGITAIS LTDA</t>
  </si>
  <si>
    <t>53.519.240/0001-63</t>
  </si>
  <si>
    <t>L FARIAS CORRETORA DE SEGUROS LTDA</t>
  </si>
  <si>
    <t>24.297.493/0001-31</t>
  </si>
  <si>
    <t>LAV COMERCIO DE AUTOPECAS LTDA</t>
  </si>
  <si>
    <t>41.048.669/0001-30</t>
  </si>
  <si>
    <t>LUCABE MATERIAIS ELETRICOS LTDA</t>
  </si>
  <si>
    <t>Osasco</t>
  </si>
  <si>
    <t>01.272.361/0001-50</t>
  </si>
  <si>
    <t>MAGALLANES NAVEGACAO BRASILEIRA S/A</t>
  </si>
  <si>
    <t>07.191.820/0001-57</t>
  </si>
  <si>
    <t>MANDAL REPRESENTACOES COMERCIAIS S/S LTDA</t>
  </si>
  <si>
    <t>Itaporanga</t>
  </si>
  <si>
    <t>69.099.950/0001-11</t>
  </si>
  <si>
    <t>MCP BRASIL LTDA</t>
  </si>
  <si>
    <t>SERVICOS DE REPARACAO E MANUTENCAO</t>
  </si>
  <si>
    <t>SAO GONCALO</t>
  </si>
  <si>
    <t>38.164.089/0001-02</t>
  </si>
  <si>
    <t>MED-CARE PRODUTOS PARA SAUDE LTDA</t>
  </si>
  <si>
    <t>02.917.280/0001-22</t>
  </si>
  <si>
    <t>MEDICAL EURO COMERCIO DE PRODUTOS HOSPITALARES LTDA</t>
  </si>
  <si>
    <t>17.732.182/0001-98</t>
  </si>
  <si>
    <t>MEGAZORD COMERCIO DE OBJETOS DE ARTE LTDA</t>
  </si>
  <si>
    <t>31.871.326/0001-18</t>
  </si>
  <si>
    <t>MELLO ALVES, ERTHAL &amp; MORETT ADVOGADOS</t>
  </si>
  <si>
    <t>20.461.357/0001-84</t>
  </si>
  <si>
    <t>METALURGICA FERRONORTE LTDA</t>
  </si>
  <si>
    <t>Teresina</t>
  </si>
  <si>
    <t>07.103.898/0001-72</t>
  </si>
  <si>
    <t>MIA - MARKETING IMOBILIARIO E ASSESSORIA LTDA</t>
  </si>
  <si>
    <t>29.710.172/0001-30</t>
  </si>
  <si>
    <t>MINERJATO MINERIOS ABRASIVOS E EQUIPAMENTOS PARA JATEAMENTO LTDA</t>
  </si>
  <si>
    <t>25.391.869/0001-35</t>
  </si>
  <si>
    <t>MINIMAL CARE LTDA</t>
  </si>
  <si>
    <t>52.608.915/0001-88</t>
  </si>
  <si>
    <t>MJ SOLUTION LTDA</t>
  </si>
  <si>
    <t>Diadema</t>
  </si>
  <si>
    <t>48.566.075/0001-60</t>
  </si>
  <si>
    <t>MOINHO DE TRIGO UNIAO LTDA.</t>
  </si>
  <si>
    <t>INDUSTRIA DE PRODUTOS ALIMENTARES</t>
  </si>
  <si>
    <t>SANTA TEREZA DO OESTE</t>
  </si>
  <si>
    <t>07.643.005/0001-81</t>
  </si>
  <si>
    <t>MOVEU SOLUCOES EM INTERMEDIACOES LTDA</t>
  </si>
  <si>
    <t>41.817.025/0001-60</t>
  </si>
  <si>
    <t>NEOTIN NEONATAL TERAPIA INTENSIVA LTDA</t>
  </si>
  <si>
    <t>00.247.125/0001-10</t>
  </si>
  <si>
    <t>NEW TARGET AGENCIAMENTO DE CARGAS LTDA</t>
  </si>
  <si>
    <t>EUSEBIO</t>
  </si>
  <si>
    <t>CE</t>
  </si>
  <si>
    <t>41.190.667/0001-81</t>
  </si>
  <si>
    <t>NEXT PRODUCOES ARTISTICAS E MARKETING LIMITADA</t>
  </si>
  <si>
    <t>07.311.055/0001-61</t>
  </si>
  <si>
    <t>NUTRINO PRODUTOS ALIMENTICIOS E COSMETICOS LTDA</t>
  </si>
  <si>
    <t>07.902.566/0001-58</t>
  </si>
  <si>
    <t>O A - SOLUCOES ADMINISTRATIVAS LTDA</t>
  </si>
  <si>
    <t>RIO BONITO</t>
  </si>
  <si>
    <t>12.048.239/0001-10</t>
  </si>
  <si>
    <t>O CARA DA LUVA DE PEDREIRO PRODUCOES ARTISTICAS SPE LTDA</t>
  </si>
  <si>
    <t>46.081.695/0001-84</t>
  </si>
  <si>
    <t>OPAH IT CONSULTING DESENVOLVIMENTO DE SISTEMAS LTDA</t>
  </si>
  <si>
    <t>09.596.761/0001-22</t>
  </si>
  <si>
    <t>P OCLUSAL PRODUTOS ODONTOLOGICOS LTDA</t>
  </si>
  <si>
    <t>INDUSTRIAS DIVERSAS</t>
  </si>
  <si>
    <t>43.943.893/0001-11</t>
  </si>
  <si>
    <t>PHX EMBALAGENS PLASTICAS LTDA</t>
  </si>
  <si>
    <t>INDUSTRIA DE PRODUTOS DE MATERIAS PLASTICAS</t>
  </si>
  <si>
    <t>TRES RIOS</t>
  </si>
  <si>
    <t>08.484.108/0001-09</t>
  </si>
  <si>
    <t>PINHO S/A</t>
  </si>
  <si>
    <t>79.608.055/0001-39</t>
  </si>
  <si>
    <t>PINHOLOG TRANSPORTE MULTIMODAL LTDA</t>
  </si>
  <si>
    <t>80.251.325/0001-86</t>
  </si>
  <si>
    <t>PLENA SAUDE S.A.</t>
  </si>
  <si>
    <t>00.338.763/0001-47</t>
  </si>
  <si>
    <t>PLR PARTICIPACOES E REPRESENTACOES LTDA.</t>
  </si>
  <si>
    <t>29.483.729/0001-48</t>
  </si>
  <si>
    <t>PONTUAL INDUSTRIA E COMERCIO DE MOVEIS LTDA</t>
  </si>
  <si>
    <t>15.789.677/0001-28</t>
  </si>
  <si>
    <t>PRIVATE CONSTRUTORA S.A</t>
  </si>
  <si>
    <t>ES</t>
  </si>
  <si>
    <t>10.616.350/0001-30</t>
  </si>
  <si>
    <t>PRODUTOS COM IA LTDA</t>
  </si>
  <si>
    <t>58.166.191/0001-46</t>
  </si>
  <si>
    <t>PULSAR CULTURA E MARKETING LTDA</t>
  </si>
  <si>
    <t>INDUSTRIA EDITORIAL E GRAFICA</t>
  </si>
  <si>
    <t>02.838.586/0001-93</t>
  </si>
  <si>
    <t>QUATRO ELEMENTOS TURISMO LTDA</t>
  </si>
  <si>
    <t>RIO QUENTE</t>
  </si>
  <si>
    <t>GO</t>
  </si>
  <si>
    <t>04.805.684/0001-50</t>
  </si>
  <si>
    <t>RBOIKO VESTUARIO LTDA</t>
  </si>
  <si>
    <t>15.658.562/0001-02</t>
  </si>
  <si>
    <t>RENATO ALVES SOCIEDADE DE ADVOGADOS</t>
  </si>
  <si>
    <t>44.348.534/0001-89</t>
  </si>
  <si>
    <t>REPLY DO BRASIL SISTEMAS DE INFORMATICA LTDA.</t>
  </si>
  <si>
    <t>13.013.857/0001-98</t>
  </si>
  <si>
    <t>RESIDENCIAL PDI SPE LTDA</t>
  </si>
  <si>
    <t>JARAGUA DO SUL</t>
  </si>
  <si>
    <t>SC</t>
  </si>
  <si>
    <t>48.463.940/0001-43</t>
  </si>
  <si>
    <t>RESIDENCIAL VALE DO SOL DE ITAPEVI SPE LTDA</t>
  </si>
  <si>
    <t>33.548.779/0001-33</t>
  </si>
  <si>
    <t>RIOMAR TRADING LTDA</t>
  </si>
  <si>
    <t>23.093.434/0001-89</t>
  </si>
  <si>
    <t>RODOPAV TINTAS PARA SINALIZACAO VIARIA LTDA</t>
  </si>
  <si>
    <t>Santa Bárbara D'Oeste</t>
  </si>
  <si>
    <t>46.865.723/0001-54</t>
  </si>
  <si>
    <t>RUBI'S EMPREENDIMENTOS IMOBILIARIOS LTDA</t>
  </si>
  <si>
    <t>65.699.902/0001-03</t>
  </si>
  <si>
    <t>RUFE-PARTICIPACOES SOCIETARIAS LTDA</t>
  </si>
  <si>
    <t>12.128.771/0001-48</t>
  </si>
  <si>
    <t>S R I PARTICIPACOES EMPRESARIAS SA</t>
  </si>
  <si>
    <t>Uberlândia</t>
  </si>
  <si>
    <t>35.485.048/0001-11</t>
  </si>
  <si>
    <t>SALOMAO &amp; COTTA LTDA</t>
  </si>
  <si>
    <t>54.036.537/0001-30</t>
  </si>
  <si>
    <t>SALOMAO, ABRAHAO &amp; COTTA SOCIEDADE DE ADVOGADOS</t>
  </si>
  <si>
    <t>52.361.325/0001-01</t>
  </si>
  <si>
    <t>SALOMAO, ABRAHAO, RAPOSO E COTTA SOCIEDADE DE ADVOGADOS</t>
  </si>
  <si>
    <t>33.789.321/0001-76</t>
  </si>
  <si>
    <t>SALOMAO, COTTA, NEIVA E GOMES SOCIEDADE DE ADVOGADOS</t>
  </si>
  <si>
    <t>62.793.384/0001-02</t>
  </si>
  <si>
    <t>SALOMAO, KAIUCA &amp; GOMES SOCIEDADE DE ADVOGADOS</t>
  </si>
  <si>
    <t>52.033.582/0001-06</t>
  </si>
  <si>
    <t>SALOMAO, KAIUCA, ABRAHAO, RAPOSO &amp; COTTA SOCIEDADE DE ADVOGADOS</t>
  </si>
  <si>
    <t>14.493.710/0001-05</t>
  </si>
  <si>
    <t>SANRISIL S/A INDUSTRIA E COMERCIO</t>
  </si>
  <si>
    <t>ITAQUAQUECETUBA</t>
  </si>
  <si>
    <t>00.783.239/0001-85</t>
  </si>
  <si>
    <t>SANTER EMPREENDIMENTOS LTDA</t>
  </si>
  <si>
    <t>GUARAMIRIM</t>
  </si>
  <si>
    <t>09.372.958/0001-88</t>
  </si>
  <si>
    <t>SIGRAWEB DESENVOLVIMENTO DE SOFTWARE LTDA</t>
  </si>
  <si>
    <t>PINHAIS</t>
  </si>
  <si>
    <t>14.645.294/0001-13</t>
  </si>
  <si>
    <t>SINCLAIR ADMINISTRACAO DE BENS E PARTICIPACAO S.A.</t>
  </si>
  <si>
    <t>45.323.458/0001-10</t>
  </si>
  <si>
    <t>SONFE PARTICIPACOES LTDA</t>
  </si>
  <si>
    <t>41.366.547/0001-92</t>
  </si>
  <si>
    <t>SOU + CHARITAS EMPREENDIMENTO IMOBILIARIO SPE LTDA.</t>
  </si>
  <si>
    <t>17.061.837/0001-43</t>
  </si>
  <si>
    <t>SOU + NITEROI EMPREENDIMENTO IMOBILIARIO SPE LTDA.</t>
  </si>
  <si>
    <t>38.035.800/0001-10</t>
  </si>
  <si>
    <t>SOU + VITAL BRASIL EMPREENDIMENTO IMOBILIARIO SPE LTDA.</t>
  </si>
  <si>
    <t>53.100.941/0001-63</t>
  </si>
  <si>
    <t>SOU + WELLNESS CHARITAS SPE LTDA</t>
  </si>
  <si>
    <t>52.959.039/0001-34</t>
  </si>
  <si>
    <t>STACK EVENTOS ESPORTIVOS S.A.</t>
  </si>
  <si>
    <t>15.675.696/0001-23</t>
  </si>
  <si>
    <t>STELLAR DO BRASIL TECNOLOGIA E IMPORTACAO LTDA</t>
  </si>
  <si>
    <t>48.837.707/0001-83</t>
  </si>
  <si>
    <t>SUPER NINE COMERCIO DE ARTIGOS ESPORTIVOS LTDA</t>
  </si>
  <si>
    <t>55.895.845/0001-84</t>
  </si>
  <si>
    <t>T REIS COMERCIO E ENGENHARIA LTDA</t>
  </si>
  <si>
    <t>VOLTA REDONDA</t>
  </si>
  <si>
    <t>25.061.309/0001-12</t>
  </si>
  <si>
    <t>TAILOR PARTNERS E ASSESSOR DE INVESTIMENTO LTDA</t>
  </si>
  <si>
    <t>25.284.909/0001-40</t>
  </si>
  <si>
    <t>TESLA COMERCIALIZADORA DE ENERGIA LTDA</t>
  </si>
  <si>
    <t>20.726.794/0001-82</t>
  </si>
  <si>
    <t>TRML PARTICIPACAO E ADMINISTRACAO LTDA</t>
  </si>
  <si>
    <t>62.034.380/0001-32</t>
  </si>
  <si>
    <t>TWICE ELEVEN ADMINISTRACAO DE BENS LTDA</t>
  </si>
  <si>
    <t>59.771.918/0001-87</t>
  </si>
  <si>
    <t>UNIKE COMERCIO DE AUTO PECAS LTDA</t>
  </si>
  <si>
    <t>31.633.553/0001-05</t>
  </si>
  <si>
    <t>VANGUARD GESTAO EMPRESARIAL LTDA</t>
  </si>
  <si>
    <t>53.247.233/0001-50</t>
  </si>
  <si>
    <t>VIBRA COMERCIO LTDA</t>
  </si>
  <si>
    <t>52.340.533/0001-16</t>
  </si>
  <si>
    <t>VIVAGEST HOLDING PATRIMONIAL LTDA</t>
  </si>
  <si>
    <t>62.392.706/0001-01</t>
  </si>
  <si>
    <t>VS SOROCABA SPE SLU LTDA</t>
  </si>
  <si>
    <t>63.240.731/0001-24</t>
  </si>
  <si>
    <t>WALE CONSTRUCOES E SERVICOS TECNICOS LTDA</t>
  </si>
  <si>
    <t>26.086.779/0001-01</t>
  </si>
  <si>
    <t>WAYCOMMERCE LTDA.</t>
  </si>
  <si>
    <t>48.426.950/0001-09</t>
  </si>
  <si>
    <t>WILSON, SONS OFFSHORE S.A.</t>
  </si>
  <si>
    <t>08.376.900/0001-40</t>
  </si>
  <si>
    <t>WORKSHIP DO BRASIL LTDA</t>
  </si>
  <si>
    <t>MARICA</t>
  </si>
  <si>
    <t>08.532.005/0001-77</t>
  </si>
  <si>
    <t>ZIEL TECH LTDA.</t>
  </si>
  <si>
    <t>53.416.168/0001-49</t>
  </si>
  <si>
    <t>ZOOX SOLUCOES EM TECNOLOGIA LTDA</t>
  </si>
  <si>
    <t>08.668.202/0001-18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</si>
</sst>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4" fontId="2" fillId="2" borderId="2" xfId="0" applyNumberFormat="1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9" fontId="2" fillId="2" borderId="2" xfId="1" applyFont="1" applyFill="1" applyBorder="1"/>
    <xf numFmtId="0" fontId="2" fillId="2" borderId="3" xfId="0" applyFont="1" applyFill="1" applyBorder="1"/>
    <xf numFmtId="0" fontId="0" fillId="0" borderId="0" xfId="0" applyAlignment="1">
      <alignment horizontal="center"/>
    </xf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14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m/d/yyyy"/>
    </dxf>
    <dxf>
      <numFmt numFmtId="164" formatCode="m/d/yyyy"/>
    </dxf>
    <dxf>
      <numFmt numFmtId="4" formatCode="#,##0.00"/>
    </dxf>
    <dxf>
      <numFmt numFmtId="13" formatCode="0%"/>
    </dxf>
    <dxf>
      <numFmt numFmtId="4" formatCode="#,##0.00"/>
    </dxf>
    <dxf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ilorpartnersinc.sharepoint.com/sites/Dashboard/Documentos%20Compartilhados/Bases/DePara.xlsm" TargetMode="External"/><Relationship Id="rId1" Type="http://schemas.openxmlformats.org/officeDocument/2006/relationships/externalLinkPath" Target="https://tailorpartnersinc.sharepoint.com/sites/Dashboard/Documentos%20Compartilhados/Bases/DePar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DePara"/>
      <sheetName val="Desligados"/>
      <sheetName val="F &amp; O"/>
      <sheetName val="Base CRM"/>
      <sheetName val="Base_Niver"/>
      <sheetName val="Base Consolidada"/>
      <sheetName val="Base Lavoro"/>
      <sheetName val="Base Câmbio"/>
      <sheetName val="Base Gestora"/>
      <sheetName val="Base Corporate Seguros"/>
      <sheetName val="Base Avenue"/>
      <sheetName val="Produzido Histórico"/>
      <sheetName val="Pódio"/>
    </sheetNames>
    <sheetDataSet>
      <sheetData sheetId="0"/>
      <sheetData sheetId="1">
        <row r="1">
          <cell r="A1" t="str">
            <v>Código Assessor XP</v>
          </cell>
          <cell r="D1" t="str">
            <v>Nome Encurtado</v>
          </cell>
        </row>
        <row r="2">
          <cell r="A2" t="str">
            <v>A21615</v>
          </cell>
          <cell r="D2" t="str">
            <v>Adonias Noronha</v>
          </cell>
        </row>
        <row r="3">
          <cell r="A3" t="str">
            <v>A97688</v>
          </cell>
          <cell r="D3" t="str">
            <v>Caroline Vlavianos</v>
          </cell>
        </row>
        <row r="4">
          <cell r="A4" t="str">
            <v>A25546</v>
          </cell>
          <cell r="D4" t="str">
            <v>Elder Violin</v>
          </cell>
        </row>
        <row r="5">
          <cell r="D5" t="str">
            <v>Felipe Nunes</v>
          </cell>
        </row>
        <row r="6">
          <cell r="D6" t="str">
            <v>Frederico Dantas</v>
          </cell>
        </row>
        <row r="7">
          <cell r="D7" t="str">
            <v>Gabriel Boyer</v>
          </cell>
        </row>
        <row r="8">
          <cell r="A8" t="str">
            <v>A6841</v>
          </cell>
          <cell r="D8" t="str">
            <v>Gustavo Dias</v>
          </cell>
        </row>
        <row r="9">
          <cell r="D9" t="str">
            <v>Gustavo Faria</v>
          </cell>
        </row>
        <row r="10">
          <cell r="A10" t="str">
            <v>A59002</v>
          </cell>
          <cell r="D10" t="str">
            <v>José De Marchi</v>
          </cell>
        </row>
        <row r="11">
          <cell r="A11" t="str">
            <v>A25137</v>
          </cell>
          <cell r="D11" t="str">
            <v>Leonardo Burle</v>
          </cell>
        </row>
        <row r="12">
          <cell r="D12" t="str">
            <v>Mauricio Abadi</v>
          </cell>
        </row>
        <row r="13">
          <cell r="A13" t="str">
            <v>A24557</v>
          </cell>
          <cell r="D13" t="str">
            <v>Murilo Jacob</v>
          </cell>
        </row>
        <row r="14">
          <cell r="D14" t="str">
            <v>Pedro Chagas</v>
          </cell>
        </row>
        <row r="15">
          <cell r="D15" t="str">
            <v>Rafael Jacobi</v>
          </cell>
        </row>
        <row r="16">
          <cell r="A16" t="str">
            <v>A20770</v>
          </cell>
          <cell r="D16" t="str">
            <v>Raphael Farias</v>
          </cell>
        </row>
        <row r="17">
          <cell r="A17" t="str">
            <v>A48731</v>
          </cell>
          <cell r="D17" t="str">
            <v>Raphael Pereira</v>
          </cell>
        </row>
        <row r="18">
          <cell r="D18" t="str">
            <v>Richard S</v>
          </cell>
        </row>
        <row r="19">
          <cell r="A19" t="str">
            <v>A47611</v>
          </cell>
          <cell r="D19" t="str">
            <v>Thayane Freitas</v>
          </cell>
        </row>
        <row r="20">
          <cell r="A20" t="str">
            <v>A69233</v>
          </cell>
          <cell r="D20" t="str">
            <v>Vinicius Bendela</v>
          </cell>
        </row>
        <row r="21">
          <cell r="A21" t="str">
            <v>A21883</v>
          </cell>
          <cell r="D21" t="str">
            <v>Victor Queiroz</v>
          </cell>
        </row>
      </sheetData>
      <sheetData sheetId="2"/>
      <sheetData sheetId="3">
        <row r="1">
          <cell r="A1" t="str">
            <v>Cód Cliente</v>
          </cell>
          <cell r="D1" t="str">
            <v>Finder</v>
          </cell>
          <cell r="E1" t="str">
            <v>Canal</v>
          </cell>
          <cell r="F1" t="str">
            <v>Nome Dash</v>
          </cell>
        </row>
        <row r="2">
          <cell r="A2">
            <v>15658556</v>
          </cell>
          <cell r="D2" t="str">
            <v>Frederico Dantas</v>
          </cell>
          <cell r="E2" t="str">
            <v>Sem Canal</v>
          </cell>
          <cell r="F2" t="str">
            <v>Leonardo Burle</v>
          </cell>
        </row>
        <row r="3">
          <cell r="A3">
            <v>15769357</v>
          </cell>
          <cell r="D3" t="str">
            <v>Frederico Dantas</v>
          </cell>
          <cell r="E3" t="str">
            <v>Sem Canal</v>
          </cell>
          <cell r="F3" t="str">
            <v>Leonardo Burle</v>
          </cell>
        </row>
        <row r="4">
          <cell r="A4">
            <v>5583578</v>
          </cell>
          <cell r="D4" t="str">
            <v>Frederico Dantas</v>
          </cell>
          <cell r="E4" t="str">
            <v>Sem Canal</v>
          </cell>
          <cell r="F4" t="str">
            <v>Leonardo Burle</v>
          </cell>
        </row>
        <row r="5">
          <cell r="A5">
            <v>15913876</v>
          </cell>
          <cell r="D5" t="str">
            <v>Frederico Dantas</v>
          </cell>
          <cell r="E5" t="str">
            <v>Sem Canal</v>
          </cell>
          <cell r="F5" t="str">
            <v>Leonardo Burle</v>
          </cell>
        </row>
        <row r="6">
          <cell r="A6">
            <v>2062524</v>
          </cell>
          <cell r="D6" t="str">
            <v>Frederico Dantas</v>
          </cell>
          <cell r="E6" t="str">
            <v>Sem Canal</v>
          </cell>
          <cell r="F6" t="str">
            <v>Leonardo Burle</v>
          </cell>
        </row>
        <row r="7">
          <cell r="A7">
            <v>6388746</v>
          </cell>
          <cell r="D7" t="str">
            <v>Frederico Dantas</v>
          </cell>
          <cell r="E7" t="str">
            <v>Sem Canal</v>
          </cell>
          <cell r="F7" t="str">
            <v>Raphael Farias</v>
          </cell>
        </row>
        <row r="8">
          <cell r="A8">
            <v>419699</v>
          </cell>
          <cell r="D8" t="str">
            <v>Frederico Dantas</v>
          </cell>
          <cell r="E8" t="str">
            <v>Sem Canal</v>
          </cell>
          <cell r="F8" t="str">
            <v>Adonias Noronha</v>
          </cell>
        </row>
        <row r="9">
          <cell r="A9">
            <v>15020732</v>
          </cell>
          <cell r="D9" t="str">
            <v>Frederico Dantas</v>
          </cell>
          <cell r="E9" t="str">
            <v>Sem Canal</v>
          </cell>
          <cell r="F9" t="str">
            <v>Raphael Farias</v>
          </cell>
        </row>
        <row r="10">
          <cell r="A10">
            <v>7428783</v>
          </cell>
          <cell r="D10" t="str">
            <v>Frederico Dantas</v>
          </cell>
          <cell r="E10" t="str">
            <v>Sem Canal</v>
          </cell>
          <cell r="F10" t="str">
            <v>Raphael Farias</v>
          </cell>
        </row>
        <row r="11">
          <cell r="A11">
            <v>564050</v>
          </cell>
          <cell r="D11" t="str">
            <v>Frederico Dantas</v>
          </cell>
          <cell r="E11" t="str">
            <v>Sem Canal</v>
          </cell>
          <cell r="F11" t="str">
            <v>Raphael Farias</v>
          </cell>
        </row>
        <row r="12">
          <cell r="A12">
            <v>43542</v>
          </cell>
          <cell r="D12" t="str">
            <v>Sem Finder</v>
          </cell>
          <cell r="E12" t="str">
            <v>Sem Canal</v>
          </cell>
          <cell r="F12" t="str">
            <v>Raphael Farias</v>
          </cell>
        </row>
        <row r="13">
          <cell r="A13">
            <v>3539059</v>
          </cell>
          <cell r="D13" t="str">
            <v>Sem Finder</v>
          </cell>
          <cell r="E13" t="str">
            <v>Sem Canal</v>
          </cell>
          <cell r="F13" t="str">
            <v>Raphael Farias</v>
          </cell>
        </row>
        <row r="14">
          <cell r="A14">
            <v>11171464</v>
          </cell>
          <cell r="D14" t="str">
            <v>Sem Finder</v>
          </cell>
          <cell r="E14" t="str">
            <v>Sem Canal</v>
          </cell>
          <cell r="F14" t="str">
            <v>Raphael Farias</v>
          </cell>
        </row>
        <row r="15">
          <cell r="A15">
            <v>2220307</v>
          </cell>
          <cell r="D15" t="str">
            <v>Sem Finder</v>
          </cell>
          <cell r="E15" t="str">
            <v>Sem Canal</v>
          </cell>
          <cell r="F15" t="str">
            <v>Raphael Farias</v>
          </cell>
        </row>
        <row r="16">
          <cell r="A16">
            <v>11192150</v>
          </cell>
          <cell r="D16" t="str">
            <v>Sem Finder</v>
          </cell>
          <cell r="E16" t="str">
            <v>Sem Canal</v>
          </cell>
          <cell r="F16" t="str">
            <v>Adonias Noronha</v>
          </cell>
        </row>
        <row r="17">
          <cell r="A17">
            <v>5101269</v>
          </cell>
          <cell r="D17" t="str">
            <v>José De Marchi</v>
          </cell>
          <cell r="E17" t="str">
            <v>Sem Canal</v>
          </cell>
          <cell r="F17" t="str">
            <v>Raphael Farias</v>
          </cell>
        </row>
        <row r="18">
          <cell r="A18">
            <v>3396693</v>
          </cell>
          <cell r="D18" t="str">
            <v>José De Marchi</v>
          </cell>
          <cell r="E18" t="str">
            <v>Sem Canal</v>
          </cell>
          <cell r="F18" t="str">
            <v>Thayane Freitas</v>
          </cell>
        </row>
        <row r="19">
          <cell r="A19">
            <v>327527</v>
          </cell>
          <cell r="D19" t="str">
            <v>José De Marchi</v>
          </cell>
          <cell r="E19" t="str">
            <v>Sem Canal</v>
          </cell>
          <cell r="F19" t="str">
            <v>Raphael Farias</v>
          </cell>
        </row>
        <row r="20">
          <cell r="A20">
            <v>15163047</v>
          </cell>
          <cell r="D20" t="str">
            <v>José De Marchi</v>
          </cell>
          <cell r="E20" t="str">
            <v>Sem Canal</v>
          </cell>
          <cell r="F20" t="str">
            <v>Raphael Farias</v>
          </cell>
        </row>
        <row r="21">
          <cell r="A21">
            <v>538019</v>
          </cell>
          <cell r="D21" t="str">
            <v>José De Marchi</v>
          </cell>
          <cell r="E21" t="str">
            <v>Sem Canal</v>
          </cell>
          <cell r="F21" t="str">
            <v>Raphael Farias</v>
          </cell>
        </row>
        <row r="22">
          <cell r="A22">
            <v>3050186</v>
          </cell>
          <cell r="D22" t="str">
            <v>Sem Finder</v>
          </cell>
          <cell r="E22" t="str">
            <v>Sem Canal</v>
          </cell>
          <cell r="F22" t="str">
            <v>Thayane Freitas</v>
          </cell>
        </row>
        <row r="23">
          <cell r="A23">
            <v>4855746</v>
          </cell>
          <cell r="D23" t="str">
            <v>Sem Finder</v>
          </cell>
          <cell r="E23" t="str">
            <v>Sem Canal</v>
          </cell>
          <cell r="F23" t="str">
            <v>Raphael Farias</v>
          </cell>
        </row>
        <row r="24">
          <cell r="A24">
            <v>2709968</v>
          </cell>
          <cell r="D24" t="str">
            <v>Sem Finder</v>
          </cell>
          <cell r="E24" t="str">
            <v>Sem Canal</v>
          </cell>
          <cell r="F24" t="str">
            <v>Adonias Noronha</v>
          </cell>
        </row>
        <row r="25">
          <cell r="A25">
            <v>16949781</v>
          </cell>
          <cell r="D25" t="str">
            <v>Sem Finder</v>
          </cell>
          <cell r="E25" t="str">
            <v>Sem Canal</v>
          </cell>
          <cell r="F25" t="str">
            <v>Adonias Noronha</v>
          </cell>
        </row>
        <row r="26">
          <cell r="A26">
            <v>16949702</v>
          </cell>
          <cell r="D26" t="str">
            <v>Sem Finder</v>
          </cell>
          <cell r="E26" t="str">
            <v>Sem Canal</v>
          </cell>
          <cell r="F26" t="str">
            <v>Adonias Noronha</v>
          </cell>
        </row>
        <row r="27">
          <cell r="A27">
            <v>8595123</v>
          </cell>
          <cell r="D27" t="str">
            <v>Sem Finder</v>
          </cell>
          <cell r="E27" t="str">
            <v>Sem Canal</v>
          </cell>
          <cell r="F27" t="str">
            <v>Raphael Farias</v>
          </cell>
        </row>
        <row r="28">
          <cell r="A28">
            <v>11116773</v>
          </cell>
          <cell r="D28" t="str">
            <v>Maurício Honorato</v>
          </cell>
          <cell r="E28" t="str">
            <v>Maurício Honorato</v>
          </cell>
          <cell r="F28" t="str">
            <v>Leonardo Burle</v>
          </cell>
        </row>
        <row r="29">
          <cell r="A29">
            <v>15184056</v>
          </cell>
          <cell r="D29" t="str">
            <v>Maurício Honorato</v>
          </cell>
          <cell r="E29" t="str">
            <v>Maurício Honorato</v>
          </cell>
          <cell r="F29" t="str">
            <v>Leonardo Burle</v>
          </cell>
        </row>
        <row r="30">
          <cell r="A30">
            <v>480600</v>
          </cell>
          <cell r="D30" t="str">
            <v>Pedro Chagas</v>
          </cell>
          <cell r="E30" t="str">
            <v>Gestora</v>
          </cell>
          <cell r="F30" t="str">
            <v>Gestora</v>
          </cell>
        </row>
        <row r="31">
          <cell r="A31">
            <v>15224733</v>
          </cell>
          <cell r="D31" t="str">
            <v>Pedro Chagas</v>
          </cell>
          <cell r="E31" t="str">
            <v>Gestora</v>
          </cell>
          <cell r="F31" t="str">
            <v>Gestora</v>
          </cell>
        </row>
        <row r="32">
          <cell r="A32">
            <v>9791286</v>
          </cell>
          <cell r="D32" t="str">
            <v>Pedro Chagas</v>
          </cell>
          <cell r="E32" t="str">
            <v>Gestora</v>
          </cell>
          <cell r="F32" t="str">
            <v>Gestora</v>
          </cell>
        </row>
        <row r="33">
          <cell r="A33">
            <v>4337325</v>
          </cell>
          <cell r="D33" t="str">
            <v>Pedro Chagas</v>
          </cell>
          <cell r="E33" t="str">
            <v>Gestora</v>
          </cell>
          <cell r="F33" t="str">
            <v>Gestora</v>
          </cell>
        </row>
        <row r="34">
          <cell r="A34">
            <v>3084616</v>
          </cell>
          <cell r="D34" t="str">
            <v>Pedro Chagas</v>
          </cell>
          <cell r="E34" t="str">
            <v>Gestora</v>
          </cell>
          <cell r="F34" t="str">
            <v>Gestora</v>
          </cell>
        </row>
        <row r="35">
          <cell r="A35">
            <v>2486913</v>
          </cell>
          <cell r="D35" t="str">
            <v>Pedro Chagas</v>
          </cell>
          <cell r="E35" t="str">
            <v>Gestora</v>
          </cell>
          <cell r="F35" t="str">
            <v>Gestora</v>
          </cell>
        </row>
        <row r="36">
          <cell r="A36">
            <v>2045808</v>
          </cell>
          <cell r="D36" t="str">
            <v>Pedro Chagas</v>
          </cell>
          <cell r="E36" t="str">
            <v>Gestora</v>
          </cell>
          <cell r="F36" t="str">
            <v>Gestora</v>
          </cell>
        </row>
        <row r="37">
          <cell r="A37">
            <v>4366822</v>
          </cell>
          <cell r="D37" t="str">
            <v>Pedro Chagas</v>
          </cell>
          <cell r="E37" t="str">
            <v>Gestora</v>
          </cell>
          <cell r="F37" t="str">
            <v>Gestora</v>
          </cell>
        </row>
        <row r="38">
          <cell r="A38">
            <v>2158062</v>
          </cell>
          <cell r="D38" t="str">
            <v>Pedro Chagas</v>
          </cell>
          <cell r="E38" t="str">
            <v>Gestora</v>
          </cell>
          <cell r="F38" t="str">
            <v>Gestora</v>
          </cell>
        </row>
        <row r="39">
          <cell r="A39">
            <v>2498186</v>
          </cell>
          <cell r="D39" t="str">
            <v>Pedro Chagas</v>
          </cell>
          <cell r="E39" t="str">
            <v>Gestora</v>
          </cell>
          <cell r="F39" t="str">
            <v>Gestora</v>
          </cell>
        </row>
        <row r="40">
          <cell r="A40">
            <v>2398537</v>
          </cell>
          <cell r="D40" t="str">
            <v>Pedro Chagas</v>
          </cell>
          <cell r="E40" t="str">
            <v>Gestora</v>
          </cell>
          <cell r="F40" t="str">
            <v>Gestora</v>
          </cell>
        </row>
        <row r="41">
          <cell r="A41">
            <v>9756664</v>
          </cell>
          <cell r="D41" t="str">
            <v>Pedro Chagas</v>
          </cell>
          <cell r="E41" t="str">
            <v>Gestora</v>
          </cell>
          <cell r="F41" t="str">
            <v>Gestora</v>
          </cell>
        </row>
        <row r="42">
          <cell r="A42">
            <v>2089667</v>
          </cell>
          <cell r="D42" t="str">
            <v>Pedro Chagas</v>
          </cell>
          <cell r="E42" t="str">
            <v>Gestora</v>
          </cell>
          <cell r="F42" t="str">
            <v>Gestora</v>
          </cell>
        </row>
        <row r="43">
          <cell r="A43">
            <v>4841219</v>
          </cell>
          <cell r="D43" t="str">
            <v>Pedro Chagas</v>
          </cell>
          <cell r="E43" t="str">
            <v>Gestora</v>
          </cell>
          <cell r="F43" t="str">
            <v>Gestora</v>
          </cell>
        </row>
        <row r="44">
          <cell r="A44">
            <v>2107412</v>
          </cell>
          <cell r="D44" t="str">
            <v>Pedro Chagas</v>
          </cell>
          <cell r="E44" t="str">
            <v>Gestora</v>
          </cell>
          <cell r="F44" t="str">
            <v>Gestora</v>
          </cell>
        </row>
        <row r="45">
          <cell r="A45">
            <v>9849832</v>
          </cell>
          <cell r="D45" t="str">
            <v>Pedro Chagas</v>
          </cell>
          <cell r="E45" t="str">
            <v>Gestora</v>
          </cell>
          <cell r="F45" t="str">
            <v>Gestora</v>
          </cell>
        </row>
        <row r="46">
          <cell r="A46">
            <v>9853157</v>
          </cell>
          <cell r="D46" t="str">
            <v>Pedro Chagas</v>
          </cell>
          <cell r="E46" t="str">
            <v>Gestora</v>
          </cell>
          <cell r="F46" t="str">
            <v>Gestora</v>
          </cell>
        </row>
        <row r="47">
          <cell r="A47">
            <v>11325706</v>
          </cell>
          <cell r="D47" t="str">
            <v>Pedro Chagas</v>
          </cell>
          <cell r="E47" t="str">
            <v>Gestora</v>
          </cell>
          <cell r="F47" t="str">
            <v>Gestora</v>
          </cell>
        </row>
        <row r="48">
          <cell r="A48">
            <v>2398831</v>
          </cell>
          <cell r="D48" t="str">
            <v>Pedro Chagas</v>
          </cell>
          <cell r="E48" t="str">
            <v>Gestora</v>
          </cell>
          <cell r="F48" t="str">
            <v>Gestora</v>
          </cell>
        </row>
        <row r="49">
          <cell r="A49">
            <v>15053737</v>
          </cell>
          <cell r="D49" t="str">
            <v>Pedro Chagas</v>
          </cell>
          <cell r="E49" t="str">
            <v>Gestora</v>
          </cell>
          <cell r="F49" t="str">
            <v>Gestora</v>
          </cell>
        </row>
        <row r="50">
          <cell r="A50">
            <v>5659371</v>
          </cell>
          <cell r="D50" t="str">
            <v>Pedro Chagas</v>
          </cell>
          <cell r="E50" t="str">
            <v>Gestora</v>
          </cell>
          <cell r="F50" t="str">
            <v>Gestora</v>
          </cell>
        </row>
        <row r="51">
          <cell r="A51">
            <v>15018528</v>
          </cell>
          <cell r="D51" t="str">
            <v>Pedro Chagas</v>
          </cell>
          <cell r="E51" t="str">
            <v>Gestora</v>
          </cell>
          <cell r="F51" t="str">
            <v>Gestora</v>
          </cell>
        </row>
        <row r="52">
          <cell r="A52">
            <v>7663588</v>
          </cell>
          <cell r="D52" t="str">
            <v>Pedro Chagas</v>
          </cell>
          <cell r="E52" t="str">
            <v>Gestora</v>
          </cell>
          <cell r="F52" t="str">
            <v>Gestora</v>
          </cell>
        </row>
        <row r="53">
          <cell r="A53">
            <v>15372370</v>
          </cell>
          <cell r="D53" t="str">
            <v>Pedro Chagas</v>
          </cell>
          <cell r="E53" t="str">
            <v>Gestora</v>
          </cell>
          <cell r="F53" t="str">
            <v>Gestora</v>
          </cell>
        </row>
        <row r="54">
          <cell r="A54">
            <v>2794676</v>
          </cell>
          <cell r="D54" t="str">
            <v>Pedro Chagas</v>
          </cell>
          <cell r="E54" t="str">
            <v>Gestora</v>
          </cell>
          <cell r="F54" t="str">
            <v>Gestora</v>
          </cell>
        </row>
        <row r="55">
          <cell r="A55">
            <v>2268550</v>
          </cell>
          <cell r="D55" t="str">
            <v>Pedro Chagas</v>
          </cell>
          <cell r="E55" t="str">
            <v>Gestora</v>
          </cell>
          <cell r="F55" t="str">
            <v>Raphael Farias</v>
          </cell>
        </row>
        <row r="56">
          <cell r="A56">
            <v>415501</v>
          </cell>
          <cell r="D56" t="str">
            <v>Pedro Chagas</v>
          </cell>
          <cell r="E56" t="str">
            <v>Gestora</v>
          </cell>
          <cell r="F56" t="str">
            <v>Gestora</v>
          </cell>
        </row>
        <row r="57">
          <cell r="A57">
            <v>3249529</v>
          </cell>
          <cell r="D57" t="str">
            <v>Pedro Chagas</v>
          </cell>
          <cell r="E57" t="str">
            <v>Gestora</v>
          </cell>
          <cell r="F57" t="str">
            <v>Gestora</v>
          </cell>
        </row>
        <row r="58">
          <cell r="A58">
            <v>375058</v>
          </cell>
          <cell r="D58" t="str">
            <v>Sem Finder</v>
          </cell>
          <cell r="E58" t="str">
            <v>Sem Canal</v>
          </cell>
          <cell r="F58" t="str">
            <v>Thayane Freitas</v>
          </cell>
        </row>
        <row r="59">
          <cell r="A59">
            <v>12170946</v>
          </cell>
          <cell r="D59" t="str">
            <v>Sem Finder</v>
          </cell>
          <cell r="E59" t="str">
            <v>Sem Canal</v>
          </cell>
          <cell r="F59" t="str">
            <v>Thayane Freitas</v>
          </cell>
        </row>
        <row r="60">
          <cell r="A60">
            <v>8094367</v>
          </cell>
          <cell r="D60" t="str">
            <v>Sem Finder</v>
          </cell>
          <cell r="E60" t="str">
            <v>Sem Canal</v>
          </cell>
          <cell r="F60" t="str">
            <v>Adonias Noronha</v>
          </cell>
        </row>
        <row r="61">
          <cell r="A61">
            <v>11175858</v>
          </cell>
          <cell r="D61" t="str">
            <v>Sem Finder</v>
          </cell>
          <cell r="E61" t="str">
            <v>Sem Canal</v>
          </cell>
          <cell r="F61" t="str">
            <v>Adonias Noronha</v>
          </cell>
        </row>
        <row r="62">
          <cell r="A62">
            <v>324468</v>
          </cell>
          <cell r="D62" t="str">
            <v>Sem Finder</v>
          </cell>
          <cell r="E62" t="str">
            <v>Sem Canal</v>
          </cell>
          <cell r="F62" t="str">
            <v>Adonias Noronha</v>
          </cell>
        </row>
        <row r="63">
          <cell r="A63">
            <v>11362477</v>
          </cell>
          <cell r="D63" t="str">
            <v>Sem Finder</v>
          </cell>
          <cell r="E63" t="str">
            <v>Sem Canal</v>
          </cell>
          <cell r="F63" t="str">
            <v>Adonias Noronha</v>
          </cell>
        </row>
        <row r="64">
          <cell r="A64">
            <v>11167944</v>
          </cell>
          <cell r="D64" t="str">
            <v>Sem Finder</v>
          </cell>
          <cell r="E64" t="str">
            <v>Sem Canal</v>
          </cell>
          <cell r="F64" t="str">
            <v>Adonias Noronha</v>
          </cell>
        </row>
        <row r="65">
          <cell r="A65">
            <v>12361913</v>
          </cell>
          <cell r="D65" t="str">
            <v>Sem Finder</v>
          </cell>
          <cell r="E65" t="str">
            <v>Sem Canal</v>
          </cell>
          <cell r="F65" t="str">
            <v>Thayane Freitas</v>
          </cell>
        </row>
        <row r="66">
          <cell r="A66">
            <v>12388300</v>
          </cell>
          <cell r="D66" t="str">
            <v>Sem Finder</v>
          </cell>
          <cell r="E66" t="str">
            <v>Sem Canal</v>
          </cell>
          <cell r="F66" t="str">
            <v>Thayane Freitas</v>
          </cell>
        </row>
        <row r="67">
          <cell r="A67">
            <v>3982969</v>
          </cell>
          <cell r="D67" t="str">
            <v>Sem Finder</v>
          </cell>
          <cell r="E67" t="str">
            <v>Sem Canal</v>
          </cell>
          <cell r="F67" t="str">
            <v>Thayane Freitas</v>
          </cell>
        </row>
        <row r="68">
          <cell r="A68">
            <v>11175861</v>
          </cell>
          <cell r="D68" t="str">
            <v>Sem Finder</v>
          </cell>
          <cell r="E68" t="str">
            <v>Sem Canal</v>
          </cell>
          <cell r="F68" t="str">
            <v>Adonias Noronha</v>
          </cell>
        </row>
        <row r="69">
          <cell r="A69">
            <v>2163823</v>
          </cell>
          <cell r="D69" t="str">
            <v>Sem Finder</v>
          </cell>
          <cell r="E69" t="str">
            <v>Sem Canal</v>
          </cell>
          <cell r="F69" t="str">
            <v>Adonias Noronha</v>
          </cell>
        </row>
        <row r="70">
          <cell r="A70">
            <v>11176463</v>
          </cell>
          <cell r="D70" t="str">
            <v>Sem Finder</v>
          </cell>
          <cell r="E70" t="str">
            <v>Sem Canal</v>
          </cell>
          <cell r="F70" t="str">
            <v>Adonias Noronha</v>
          </cell>
        </row>
        <row r="71">
          <cell r="A71">
            <v>11204371</v>
          </cell>
          <cell r="D71" t="str">
            <v>Sem Finder</v>
          </cell>
          <cell r="E71" t="str">
            <v>Sem Canal</v>
          </cell>
          <cell r="F71" t="str">
            <v>Caroline Vlavianos</v>
          </cell>
        </row>
        <row r="72">
          <cell r="A72">
            <v>11306516</v>
          </cell>
          <cell r="D72" t="str">
            <v>Sem Finder</v>
          </cell>
          <cell r="E72" t="str">
            <v>Sem Canal</v>
          </cell>
          <cell r="F72" t="str">
            <v>Adonias Noronha</v>
          </cell>
        </row>
        <row r="73">
          <cell r="A73">
            <v>2627868</v>
          </cell>
          <cell r="D73" t="str">
            <v>Sem Finder</v>
          </cell>
          <cell r="E73" t="str">
            <v>Sem Canal</v>
          </cell>
          <cell r="F73" t="str">
            <v>Adonias Noronha</v>
          </cell>
        </row>
        <row r="74">
          <cell r="A74">
            <v>2101807</v>
          </cell>
          <cell r="D74" t="str">
            <v>Sem Finder</v>
          </cell>
          <cell r="E74" t="str">
            <v>Sem Canal</v>
          </cell>
          <cell r="F74" t="str">
            <v>Thayane Freitas</v>
          </cell>
        </row>
        <row r="75">
          <cell r="A75">
            <v>11279989</v>
          </cell>
          <cell r="D75" t="str">
            <v>Sem Finder</v>
          </cell>
          <cell r="E75" t="str">
            <v>Sem Canal</v>
          </cell>
          <cell r="F75" t="str">
            <v>Caroline Vlavianos</v>
          </cell>
        </row>
        <row r="76">
          <cell r="A76">
            <v>9409265</v>
          </cell>
          <cell r="D76" t="str">
            <v>Sem Finder</v>
          </cell>
          <cell r="E76" t="str">
            <v>Sem Canal</v>
          </cell>
          <cell r="F76" t="str">
            <v>Thayane Freitas</v>
          </cell>
        </row>
        <row r="77">
          <cell r="A77">
            <v>205228</v>
          </cell>
          <cell r="D77" t="str">
            <v>Sem Finder</v>
          </cell>
          <cell r="E77" t="str">
            <v>Sem Canal</v>
          </cell>
          <cell r="F77" t="str">
            <v>Adonias Noronha</v>
          </cell>
        </row>
        <row r="78">
          <cell r="A78">
            <v>2307604</v>
          </cell>
          <cell r="D78" t="str">
            <v>Sem Finder</v>
          </cell>
          <cell r="E78" t="str">
            <v>Sem Canal</v>
          </cell>
          <cell r="F78" t="str">
            <v>Adonias Noronha</v>
          </cell>
        </row>
        <row r="79">
          <cell r="A79">
            <v>11287409</v>
          </cell>
          <cell r="D79" t="str">
            <v>Sem Finder</v>
          </cell>
          <cell r="E79" t="str">
            <v>Sem Canal</v>
          </cell>
          <cell r="F79" t="str">
            <v>Thayane Freitas</v>
          </cell>
        </row>
        <row r="80">
          <cell r="A80">
            <v>14378745</v>
          </cell>
          <cell r="D80" t="str">
            <v>Sem Finder</v>
          </cell>
          <cell r="E80" t="str">
            <v>Sem Canal</v>
          </cell>
          <cell r="F80" t="str">
            <v>Adonias Noronha</v>
          </cell>
        </row>
        <row r="81">
          <cell r="A81">
            <v>12383984</v>
          </cell>
          <cell r="D81" t="str">
            <v>Sem Finder</v>
          </cell>
          <cell r="E81" t="str">
            <v>Sem Canal</v>
          </cell>
          <cell r="F81" t="str">
            <v>Thayane Freitas</v>
          </cell>
        </row>
        <row r="82">
          <cell r="A82">
            <v>11644267</v>
          </cell>
          <cell r="D82" t="str">
            <v>Sem Finder</v>
          </cell>
          <cell r="E82" t="str">
            <v>Sem Canal</v>
          </cell>
          <cell r="F82" t="str">
            <v>Thayane Freitas</v>
          </cell>
        </row>
        <row r="83">
          <cell r="A83">
            <v>12680716</v>
          </cell>
          <cell r="D83" t="str">
            <v>Sem Finder</v>
          </cell>
          <cell r="E83" t="str">
            <v>Sem Canal</v>
          </cell>
          <cell r="F83" t="str">
            <v>Thayane Freitas</v>
          </cell>
        </row>
        <row r="84">
          <cell r="A84">
            <v>452388</v>
          </cell>
          <cell r="D84" t="str">
            <v>Sem Finder</v>
          </cell>
          <cell r="E84" t="str">
            <v>Sem Canal</v>
          </cell>
          <cell r="F84" t="str">
            <v>Thayane Freitas</v>
          </cell>
        </row>
        <row r="85">
          <cell r="A85">
            <v>2042829</v>
          </cell>
          <cell r="D85" t="str">
            <v>Sem Finder</v>
          </cell>
          <cell r="E85" t="str">
            <v>Sem Canal</v>
          </cell>
          <cell r="F85" t="str">
            <v>Thayane Freitas</v>
          </cell>
        </row>
        <row r="86">
          <cell r="A86">
            <v>2036321</v>
          </cell>
          <cell r="D86" t="str">
            <v>Sem Finder</v>
          </cell>
          <cell r="E86" t="str">
            <v>Sem Canal</v>
          </cell>
          <cell r="F86" t="str">
            <v>Thayane Freitas</v>
          </cell>
        </row>
        <row r="87">
          <cell r="A87">
            <v>6459264</v>
          </cell>
          <cell r="D87" t="str">
            <v>Sem Finder</v>
          </cell>
          <cell r="E87" t="str">
            <v>Sem Canal</v>
          </cell>
          <cell r="F87" t="str">
            <v>Thayane Freitas</v>
          </cell>
        </row>
        <row r="88">
          <cell r="A88">
            <v>8526897</v>
          </cell>
          <cell r="D88" t="str">
            <v>Sem Finder</v>
          </cell>
          <cell r="E88" t="str">
            <v>Sem Canal</v>
          </cell>
          <cell r="F88" t="str">
            <v>Raphael Farias</v>
          </cell>
        </row>
        <row r="89">
          <cell r="A89">
            <v>8085370</v>
          </cell>
          <cell r="D89" t="str">
            <v>Sem Finder</v>
          </cell>
          <cell r="E89" t="str">
            <v>Sem Canal</v>
          </cell>
          <cell r="F89" t="str">
            <v>Thayane Freitas</v>
          </cell>
        </row>
        <row r="90">
          <cell r="A90">
            <v>15654727</v>
          </cell>
          <cell r="D90" t="str">
            <v>Sem Finder</v>
          </cell>
          <cell r="E90" t="str">
            <v>Sem Canal</v>
          </cell>
          <cell r="F90" t="str">
            <v>Thayane Freitas</v>
          </cell>
        </row>
        <row r="91">
          <cell r="A91">
            <v>6854755</v>
          </cell>
          <cell r="D91" t="str">
            <v>Sem Finder</v>
          </cell>
          <cell r="E91" t="str">
            <v>Camila Corrêa</v>
          </cell>
          <cell r="F91" t="str">
            <v>Adonias Noronha</v>
          </cell>
        </row>
        <row r="92">
          <cell r="A92">
            <v>7223158</v>
          </cell>
          <cell r="D92" t="str">
            <v>Sem Finder</v>
          </cell>
          <cell r="E92" t="str">
            <v>Camila Corrêa</v>
          </cell>
          <cell r="F92" t="str">
            <v>Adonias Noronha</v>
          </cell>
        </row>
        <row r="93">
          <cell r="A93">
            <v>187917</v>
          </cell>
          <cell r="D93" t="str">
            <v>Sem Finder</v>
          </cell>
          <cell r="E93" t="str">
            <v>Sem Canal</v>
          </cell>
          <cell r="F93" t="str">
            <v>Adonias Noronha</v>
          </cell>
        </row>
        <row r="94">
          <cell r="A94">
            <v>234057</v>
          </cell>
          <cell r="D94" t="str">
            <v>Sem Finder</v>
          </cell>
          <cell r="E94" t="str">
            <v>Sem Canal</v>
          </cell>
          <cell r="F94" t="str">
            <v>Thayane Freitas</v>
          </cell>
        </row>
        <row r="95">
          <cell r="A95">
            <v>14255147</v>
          </cell>
          <cell r="D95" t="str">
            <v>Sem Finder</v>
          </cell>
          <cell r="E95" t="str">
            <v>Sem Canal</v>
          </cell>
          <cell r="F95" t="str">
            <v>Adonias Noronha</v>
          </cell>
        </row>
        <row r="96">
          <cell r="A96">
            <v>2233748</v>
          </cell>
          <cell r="D96" t="str">
            <v>Sem Finder</v>
          </cell>
          <cell r="E96" t="str">
            <v>Sem Canal</v>
          </cell>
          <cell r="F96" t="str">
            <v>Adonias Noronha</v>
          </cell>
        </row>
        <row r="97">
          <cell r="A97">
            <v>17125519</v>
          </cell>
          <cell r="D97" t="str">
            <v>Sem Finder</v>
          </cell>
          <cell r="E97" t="str">
            <v>Sem Canal</v>
          </cell>
          <cell r="F97" t="str">
            <v>Caroline Vlavianos</v>
          </cell>
        </row>
        <row r="98">
          <cell r="A98">
            <v>354997</v>
          </cell>
          <cell r="D98" t="str">
            <v>Sem Finder</v>
          </cell>
          <cell r="E98" t="str">
            <v>Sem Canal</v>
          </cell>
          <cell r="F98" t="str">
            <v>Caroline Vlavianos</v>
          </cell>
        </row>
        <row r="99">
          <cell r="A99">
            <v>11738638</v>
          </cell>
          <cell r="D99" t="str">
            <v>Sem Finder</v>
          </cell>
          <cell r="E99" t="str">
            <v>Sem Canal</v>
          </cell>
          <cell r="F99" t="str">
            <v>Caroline Vlavianos</v>
          </cell>
        </row>
        <row r="100">
          <cell r="A100">
            <v>2121010</v>
          </cell>
          <cell r="D100" t="str">
            <v>Sem Finder</v>
          </cell>
          <cell r="E100" t="str">
            <v>Sem Canal</v>
          </cell>
          <cell r="F100" t="str">
            <v>Caroline Vlavianos</v>
          </cell>
        </row>
        <row r="101">
          <cell r="A101">
            <v>14867268</v>
          </cell>
          <cell r="D101" t="str">
            <v>Sem Finder</v>
          </cell>
          <cell r="E101" t="str">
            <v>Sem Canal</v>
          </cell>
          <cell r="F101" t="str">
            <v>Caroline Vlavianos</v>
          </cell>
        </row>
        <row r="102">
          <cell r="A102">
            <v>4797257</v>
          </cell>
          <cell r="D102" t="str">
            <v>Sem Finder</v>
          </cell>
          <cell r="E102" t="str">
            <v>Sem Canal</v>
          </cell>
          <cell r="F102" t="str">
            <v>Raphael Farias</v>
          </cell>
        </row>
        <row r="103">
          <cell r="A103">
            <v>395287</v>
          </cell>
          <cell r="D103" t="str">
            <v>Sem Finder</v>
          </cell>
          <cell r="E103" t="str">
            <v>Sem Canal</v>
          </cell>
          <cell r="F103" t="str">
            <v>Raphael Farias</v>
          </cell>
        </row>
        <row r="104">
          <cell r="A104">
            <v>12019847</v>
          </cell>
          <cell r="D104" t="str">
            <v>Sem Finder</v>
          </cell>
          <cell r="E104" t="str">
            <v>Sem Canal</v>
          </cell>
          <cell r="F104" t="str">
            <v>Thayane Freitas</v>
          </cell>
        </row>
        <row r="105">
          <cell r="A105">
            <v>214015</v>
          </cell>
          <cell r="D105" t="str">
            <v>Sem Finder</v>
          </cell>
          <cell r="E105" t="str">
            <v>Sem Canal</v>
          </cell>
          <cell r="F105" t="str">
            <v>Raphael Farias</v>
          </cell>
        </row>
        <row r="106">
          <cell r="A106">
            <v>15598773</v>
          </cell>
          <cell r="D106" t="str">
            <v>Sem Finder</v>
          </cell>
          <cell r="E106" t="str">
            <v>Sem Canal</v>
          </cell>
          <cell r="F106" t="str">
            <v>Raphael Farias</v>
          </cell>
        </row>
        <row r="107">
          <cell r="A107">
            <v>224341</v>
          </cell>
          <cell r="D107" t="str">
            <v>Sem Finder</v>
          </cell>
          <cell r="E107" t="str">
            <v>Sem Canal</v>
          </cell>
          <cell r="F107" t="str">
            <v>Raphael Farias</v>
          </cell>
        </row>
        <row r="108">
          <cell r="A108">
            <v>5294180</v>
          </cell>
          <cell r="D108" t="str">
            <v>Sem Finder</v>
          </cell>
          <cell r="E108" t="str">
            <v>Sem Canal</v>
          </cell>
          <cell r="F108" t="str">
            <v>Raphael Farias</v>
          </cell>
        </row>
        <row r="109">
          <cell r="A109">
            <v>93931</v>
          </cell>
          <cell r="D109" t="str">
            <v>Sem Finder</v>
          </cell>
          <cell r="E109" t="str">
            <v>Sem Canal</v>
          </cell>
          <cell r="F109" t="str">
            <v>Leonardo Burle</v>
          </cell>
        </row>
        <row r="110">
          <cell r="A110">
            <v>6132015</v>
          </cell>
          <cell r="D110" t="str">
            <v>Sem Finder</v>
          </cell>
          <cell r="E110" t="str">
            <v>Sem Canal</v>
          </cell>
          <cell r="F110" t="str">
            <v>Leonardo Burle</v>
          </cell>
        </row>
        <row r="111">
          <cell r="A111">
            <v>2506390</v>
          </cell>
          <cell r="D111" t="str">
            <v>Sem Finder</v>
          </cell>
          <cell r="E111" t="str">
            <v>Sem Canal</v>
          </cell>
          <cell r="F111" t="str">
            <v>Adonias Noronha</v>
          </cell>
        </row>
        <row r="112">
          <cell r="A112">
            <v>3837866</v>
          </cell>
          <cell r="D112" t="str">
            <v>Sem Finder</v>
          </cell>
          <cell r="E112" t="str">
            <v>Sem Canal</v>
          </cell>
          <cell r="F112" t="str">
            <v>Adonias Noronha</v>
          </cell>
        </row>
        <row r="113">
          <cell r="A113">
            <v>15266162</v>
          </cell>
          <cell r="D113" t="str">
            <v>Sem Finder</v>
          </cell>
          <cell r="E113" t="str">
            <v>Sem Canal</v>
          </cell>
          <cell r="F113" t="str">
            <v>Leonardo Burle</v>
          </cell>
        </row>
        <row r="114">
          <cell r="A114">
            <v>4412593</v>
          </cell>
          <cell r="D114" t="str">
            <v>Sem Finder</v>
          </cell>
          <cell r="E114" t="str">
            <v>Sem Canal</v>
          </cell>
          <cell r="F114" t="str">
            <v>Leonardo Burle</v>
          </cell>
        </row>
        <row r="115">
          <cell r="A115">
            <v>13253860</v>
          </cell>
          <cell r="D115" t="str">
            <v>Sem Finder</v>
          </cell>
          <cell r="E115" t="str">
            <v>Sem Canal</v>
          </cell>
          <cell r="F115" t="str">
            <v>Leonardo Burle</v>
          </cell>
        </row>
        <row r="116">
          <cell r="A116">
            <v>13038806</v>
          </cell>
          <cell r="D116" t="str">
            <v>Sem Finder</v>
          </cell>
          <cell r="E116" t="str">
            <v>Sem Canal</v>
          </cell>
          <cell r="F116" t="str">
            <v>Leonardo Burle</v>
          </cell>
        </row>
        <row r="117">
          <cell r="A117">
            <v>7806685</v>
          </cell>
          <cell r="D117" t="str">
            <v>Sem Finder</v>
          </cell>
          <cell r="E117" t="str">
            <v>Sem Canal</v>
          </cell>
          <cell r="F117" t="str">
            <v>Leonardo Burle</v>
          </cell>
        </row>
        <row r="118">
          <cell r="A118">
            <v>15801854</v>
          </cell>
          <cell r="D118" t="str">
            <v>Sem Finder</v>
          </cell>
          <cell r="E118" t="str">
            <v>Sem Canal</v>
          </cell>
          <cell r="F118" t="str">
            <v>Leonardo Burle</v>
          </cell>
        </row>
        <row r="119">
          <cell r="A119">
            <v>2362713</v>
          </cell>
          <cell r="D119" t="str">
            <v>Sem Finder</v>
          </cell>
          <cell r="E119" t="str">
            <v>Sem Canal</v>
          </cell>
          <cell r="F119" t="str">
            <v>Leonardo Burle</v>
          </cell>
        </row>
        <row r="120">
          <cell r="A120">
            <v>286320</v>
          </cell>
          <cell r="D120" t="str">
            <v>Sem Finder</v>
          </cell>
          <cell r="E120" t="str">
            <v>Sem Canal</v>
          </cell>
          <cell r="F120" t="str">
            <v>Thayane Freitas</v>
          </cell>
        </row>
        <row r="121">
          <cell r="A121">
            <v>3748876</v>
          </cell>
          <cell r="D121" t="str">
            <v>Sem Finder</v>
          </cell>
          <cell r="E121" t="str">
            <v>Sem Canal</v>
          </cell>
          <cell r="F121" t="str">
            <v>Adonias Noronha</v>
          </cell>
        </row>
        <row r="122">
          <cell r="A122">
            <v>11300376</v>
          </cell>
          <cell r="D122" t="str">
            <v>Sem Finder</v>
          </cell>
          <cell r="E122" t="str">
            <v>Sem Canal</v>
          </cell>
          <cell r="F122" t="str">
            <v>Thayane Freitas</v>
          </cell>
        </row>
        <row r="123">
          <cell r="A123">
            <v>2508081</v>
          </cell>
          <cell r="D123" t="str">
            <v>Sem Finder</v>
          </cell>
          <cell r="E123" t="str">
            <v>Camila Corrêa</v>
          </cell>
          <cell r="F123" t="str">
            <v>Adonias Noronha</v>
          </cell>
        </row>
        <row r="124">
          <cell r="A124">
            <v>260894</v>
          </cell>
          <cell r="D124" t="str">
            <v>Sem Finder</v>
          </cell>
          <cell r="E124" t="str">
            <v>Camila Corrêa</v>
          </cell>
          <cell r="F124" t="str">
            <v>Adonias Noronha</v>
          </cell>
        </row>
        <row r="125">
          <cell r="A125">
            <v>350996</v>
          </cell>
          <cell r="D125" t="str">
            <v>Sem Finder</v>
          </cell>
          <cell r="E125" t="str">
            <v>Camila Corrêa</v>
          </cell>
          <cell r="F125" t="str">
            <v>Adonias Noronha</v>
          </cell>
        </row>
        <row r="126">
          <cell r="A126">
            <v>558188</v>
          </cell>
          <cell r="D126" t="str">
            <v>Sem Finder</v>
          </cell>
          <cell r="E126" t="str">
            <v>Camila Corrêa</v>
          </cell>
          <cell r="F126" t="str">
            <v>Adonias Noronha</v>
          </cell>
        </row>
        <row r="127">
          <cell r="A127">
            <v>3748611</v>
          </cell>
          <cell r="D127" t="str">
            <v>Sem Finder</v>
          </cell>
          <cell r="E127" t="str">
            <v>Camila Corrêa</v>
          </cell>
          <cell r="F127" t="str">
            <v>Adonias Noronha</v>
          </cell>
        </row>
        <row r="128">
          <cell r="A128">
            <v>2461694</v>
          </cell>
          <cell r="D128" t="str">
            <v>Sem Finder</v>
          </cell>
          <cell r="E128" t="str">
            <v>Camila Corrêa</v>
          </cell>
          <cell r="F128" t="str">
            <v>Thayane Freitas</v>
          </cell>
        </row>
        <row r="129">
          <cell r="A129">
            <v>3099967</v>
          </cell>
          <cell r="D129" t="str">
            <v>Sem Finder</v>
          </cell>
          <cell r="E129" t="str">
            <v>Camila Corrêa</v>
          </cell>
          <cell r="F129" t="str">
            <v>Adonias Noronha</v>
          </cell>
        </row>
        <row r="130">
          <cell r="A130">
            <v>511894</v>
          </cell>
          <cell r="D130" t="str">
            <v>Sem Finder</v>
          </cell>
          <cell r="E130" t="str">
            <v>Camila Corrêa</v>
          </cell>
          <cell r="F130" t="str">
            <v>Adonias Noronha</v>
          </cell>
        </row>
        <row r="131">
          <cell r="A131">
            <v>16421702</v>
          </cell>
          <cell r="D131" t="str">
            <v>Pedro Chagas</v>
          </cell>
          <cell r="E131" t="str">
            <v>Sem Canal</v>
          </cell>
          <cell r="F131" t="str">
            <v>Gestora</v>
          </cell>
        </row>
        <row r="132">
          <cell r="A132">
            <v>16411477</v>
          </cell>
          <cell r="D132" t="str">
            <v>Pedro Chagas</v>
          </cell>
          <cell r="E132" t="str">
            <v>Sem Canal</v>
          </cell>
          <cell r="F132" t="str">
            <v>Gestora</v>
          </cell>
        </row>
        <row r="133">
          <cell r="A133">
            <v>16299474</v>
          </cell>
          <cell r="D133" t="str">
            <v>Pedro Chagas</v>
          </cell>
          <cell r="E133" t="str">
            <v>Sem Canal</v>
          </cell>
          <cell r="F133" t="str">
            <v>Gestora</v>
          </cell>
        </row>
        <row r="134">
          <cell r="A134">
            <v>2346796</v>
          </cell>
          <cell r="D134" t="str">
            <v>Sem Finder</v>
          </cell>
          <cell r="E134" t="str">
            <v>Gestora</v>
          </cell>
          <cell r="F134" t="str">
            <v>Gestora</v>
          </cell>
        </row>
        <row r="135">
          <cell r="A135">
            <v>6023937</v>
          </cell>
          <cell r="D135" t="str">
            <v>Sem Finder</v>
          </cell>
          <cell r="E135" t="str">
            <v>Gestora</v>
          </cell>
          <cell r="F135" t="str">
            <v>Gestora</v>
          </cell>
        </row>
        <row r="136">
          <cell r="A136">
            <v>4382509</v>
          </cell>
          <cell r="D136" t="str">
            <v>Sem Finder</v>
          </cell>
          <cell r="E136" t="str">
            <v>Gestora</v>
          </cell>
          <cell r="F136" t="str">
            <v>Gestora</v>
          </cell>
        </row>
        <row r="137">
          <cell r="A137">
            <v>2529709</v>
          </cell>
          <cell r="D137" t="str">
            <v>Sem Finder</v>
          </cell>
          <cell r="E137" t="str">
            <v>Gestora</v>
          </cell>
          <cell r="F137" t="str">
            <v>Gestora</v>
          </cell>
        </row>
        <row r="138">
          <cell r="A138">
            <v>15073246</v>
          </cell>
          <cell r="D138" t="str">
            <v>Sem Finder</v>
          </cell>
          <cell r="E138" t="str">
            <v>Gestora</v>
          </cell>
          <cell r="F138" t="str">
            <v>Gestora</v>
          </cell>
        </row>
        <row r="139">
          <cell r="A139">
            <v>14577896</v>
          </cell>
          <cell r="D139" t="str">
            <v>Sem Finder</v>
          </cell>
          <cell r="E139" t="str">
            <v>Gestora</v>
          </cell>
          <cell r="F139" t="str">
            <v>Gestora</v>
          </cell>
        </row>
        <row r="140">
          <cell r="A140">
            <v>8712258</v>
          </cell>
          <cell r="D140" t="str">
            <v>Sem Finder</v>
          </cell>
          <cell r="E140" t="str">
            <v>Gestora</v>
          </cell>
          <cell r="F140" t="str">
            <v>Gestora</v>
          </cell>
        </row>
        <row r="141">
          <cell r="A141">
            <v>8061683</v>
          </cell>
          <cell r="D141" t="str">
            <v>Sem Finder</v>
          </cell>
          <cell r="E141" t="str">
            <v>Gestora</v>
          </cell>
          <cell r="F141" t="str">
            <v>Gestora</v>
          </cell>
        </row>
        <row r="142">
          <cell r="A142">
            <v>2537058</v>
          </cell>
          <cell r="D142" t="str">
            <v>Sem Finder</v>
          </cell>
          <cell r="E142" t="str">
            <v>Gestora</v>
          </cell>
          <cell r="F142" t="str">
            <v>Gestora</v>
          </cell>
        </row>
        <row r="143">
          <cell r="A143">
            <v>3818944</v>
          </cell>
          <cell r="D143" t="str">
            <v>Sem Finder</v>
          </cell>
          <cell r="E143" t="str">
            <v>Gestora</v>
          </cell>
          <cell r="F143" t="str">
            <v>Gestora</v>
          </cell>
        </row>
        <row r="144">
          <cell r="A144">
            <v>3331818</v>
          </cell>
          <cell r="D144" t="str">
            <v>Sem Finder</v>
          </cell>
          <cell r="E144" t="str">
            <v>Gestora</v>
          </cell>
          <cell r="F144" t="str">
            <v>Gestora</v>
          </cell>
        </row>
        <row r="145">
          <cell r="A145">
            <v>9539185</v>
          </cell>
          <cell r="D145" t="str">
            <v>Sem Finder</v>
          </cell>
          <cell r="E145" t="str">
            <v>Gestora</v>
          </cell>
          <cell r="F145" t="str">
            <v>Gestora</v>
          </cell>
        </row>
        <row r="146">
          <cell r="A146">
            <v>9853162</v>
          </cell>
          <cell r="D146" t="str">
            <v>Sem Finder</v>
          </cell>
          <cell r="E146" t="str">
            <v>Gestora</v>
          </cell>
          <cell r="F146" t="str">
            <v>Gestora</v>
          </cell>
        </row>
        <row r="147">
          <cell r="A147">
            <v>2031483</v>
          </cell>
          <cell r="D147" t="str">
            <v>Sem Finder</v>
          </cell>
          <cell r="E147" t="str">
            <v>Gestora</v>
          </cell>
          <cell r="F147" t="str">
            <v>Gestora</v>
          </cell>
        </row>
        <row r="148">
          <cell r="A148">
            <v>248739</v>
          </cell>
          <cell r="D148" t="str">
            <v>Sem Finder</v>
          </cell>
          <cell r="E148" t="str">
            <v>Sem Canal</v>
          </cell>
          <cell r="F148" t="str">
            <v>Raphael Farias</v>
          </cell>
        </row>
        <row r="149">
          <cell r="A149">
            <v>425051</v>
          </cell>
          <cell r="D149" t="str">
            <v>Sem Finder</v>
          </cell>
          <cell r="E149" t="str">
            <v>Sem Canal</v>
          </cell>
          <cell r="F149" t="str">
            <v>Raphael Farias</v>
          </cell>
        </row>
        <row r="150">
          <cell r="A150">
            <v>2447201</v>
          </cell>
          <cell r="D150" t="str">
            <v>Sem Finder</v>
          </cell>
          <cell r="E150" t="str">
            <v>Sem Canal</v>
          </cell>
          <cell r="F150" t="str">
            <v>Raphael Farias</v>
          </cell>
        </row>
        <row r="151">
          <cell r="A151">
            <v>16042614</v>
          </cell>
          <cell r="D151" t="str">
            <v>Sem Finder</v>
          </cell>
          <cell r="E151" t="str">
            <v>Sem Canal</v>
          </cell>
          <cell r="F151" t="str">
            <v>Raphael Pereira</v>
          </cell>
        </row>
        <row r="152">
          <cell r="A152">
            <v>6099844</v>
          </cell>
          <cell r="D152" t="str">
            <v>Sem Finder</v>
          </cell>
          <cell r="E152" t="str">
            <v>Sem Canal</v>
          </cell>
          <cell r="F152" t="str">
            <v>Raphael Pereira</v>
          </cell>
        </row>
        <row r="153">
          <cell r="A153">
            <v>14895450</v>
          </cell>
          <cell r="D153" t="str">
            <v>Sem Finder</v>
          </cell>
          <cell r="E153" t="str">
            <v>Sem Canal</v>
          </cell>
          <cell r="F153" t="str">
            <v>Raphael Pereira</v>
          </cell>
        </row>
        <row r="154">
          <cell r="A154">
            <v>6697055</v>
          </cell>
          <cell r="D154" t="str">
            <v>Sem Finder</v>
          </cell>
          <cell r="E154" t="str">
            <v>Sem Canal</v>
          </cell>
          <cell r="F154" t="str">
            <v>Raphael Pereira</v>
          </cell>
        </row>
        <row r="155">
          <cell r="A155">
            <v>15099371</v>
          </cell>
          <cell r="D155" t="str">
            <v>Sem Finder</v>
          </cell>
          <cell r="E155" t="str">
            <v>Sem Canal</v>
          </cell>
          <cell r="F155" t="str">
            <v>Raphael Pereira</v>
          </cell>
        </row>
        <row r="156">
          <cell r="A156">
            <v>410681</v>
          </cell>
          <cell r="D156" t="str">
            <v>Sem Finder</v>
          </cell>
          <cell r="E156" t="str">
            <v>Sem Canal</v>
          </cell>
          <cell r="F156" t="str">
            <v>Raphael Pereira</v>
          </cell>
        </row>
        <row r="157">
          <cell r="A157">
            <v>381539</v>
          </cell>
          <cell r="D157" t="str">
            <v>Sem Finder</v>
          </cell>
          <cell r="E157" t="str">
            <v>Sem Canal</v>
          </cell>
          <cell r="F157" t="str">
            <v>Raphael Pereira</v>
          </cell>
        </row>
        <row r="158">
          <cell r="A158">
            <v>15149982</v>
          </cell>
          <cell r="D158" t="str">
            <v>Sem Finder</v>
          </cell>
          <cell r="E158" t="str">
            <v>Sem Canal</v>
          </cell>
          <cell r="F158" t="str">
            <v>Raphael Pereira</v>
          </cell>
        </row>
        <row r="159">
          <cell r="A159">
            <v>15412728</v>
          </cell>
          <cell r="D159" t="str">
            <v>Sem Finder</v>
          </cell>
          <cell r="E159" t="str">
            <v>Sem Canal</v>
          </cell>
          <cell r="F159" t="str">
            <v>Raphael Pereira</v>
          </cell>
        </row>
        <row r="160">
          <cell r="A160">
            <v>3627878</v>
          </cell>
          <cell r="D160" t="str">
            <v>Sem Finder</v>
          </cell>
          <cell r="E160" t="str">
            <v>Sem Canal</v>
          </cell>
          <cell r="F160" t="str">
            <v>Raphael Pereira</v>
          </cell>
        </row>
        <row r="161">
          <cell r="A161">
            <v>2015938</v>
          </cell>
          <cell r="D161" t="str">
            <v>Sem Finder</v>
          </cell>
          <cell r="E161" t="str">
            <v>Sem Canal</v>
          </cell>
          <cell r="F161" t="str">
            <v>Raphael Pereira</v>
          </cell>
        </row>
        <row r="162">
          <cell r="A162">
            <v>9255718</v>
          </cell>
          <cell r="D162" t="str">
            <v>Sem Finder</v>
          </cell>
          <cell r="E162" t="str">
            <v>Sem Canal</v>
          </cell>
          <cell r="F162" t="str">
            <v>Raphael Pereira</v>
          </cell>
        </row>
        <row r="163">
          <cell r="A163">
            <v>9139216</v>
          </cell>
          <cell r="D163" t="str">
            <v>Sem Finder</v>
          </cell>
          <cell r="E163" t="str">
            <v>Sem Canal</v>
          </cell>
          <cell r="F163" t="str">
            <v>Raphael Pereira</v>
          </cell>
        </row>
        <row r="164">
          <cell r="A164">
            <v>12180673</v>
          </cell>
          <cell r="D164" t="str">
            <v>Sem Finder</v>
          </cell>
          <cell r="E164" t="str">
            <v>Sem Canal</v>
          </cell>
          <cell r="F164" t="str">
            <v>Raphael Pereira</v>
          </cell>
        </row>
        <row r="165">
          <cell r="A165">
            <v>407938</v>
          </cell>
          <cell r="D165" t="str">
            <v>Sem Finder</v>
          </cell>
          <cell r="E165" t="str">
            <v>Sem Canal</v>
          </cell>
          <cell r="F165" t="str">
            <v>Raphael Pereira</v>
          </cell>
        </row>
        <row r="166">
          <cell r="A166">
            <v>15158949</v>
          </cell>
          <cell r="D166" t="str">
            <v>Sem Finder</v>
          </cell>
          <cell r="E166" t="str">
            <v>Sem Canal</v>
          </cell>
          <cell r="F166" t="str">
            <v>Raphael Pereira</v>
          </cell>
        </row>
        <row r="167">
          <cell r="A167">
            <v>9531351</v>
          </cell>
          <cell r="D167" t="str">
            <v>Sem Finder</v>
          </cell>
          <cell r="E167" t="str">
            <v>Sem Canal</v>
          </cell>
          <cell r="F167" t="str">
            <v>Raphael Pereira</v>
          </cell>
        </row>
        <row r="168">
          <cell r="A168">
            <v>11437922</v>
          </cell>
          <cell r="D168" t="str">
            <v>Sem Finder</v>
          </cell>
          <cell r="E168" t="str">
            <v>Sem Canal</v>
          </cell>
          <cell r="F168" t="str">
            <v>Raphael Pereira</v>
          </cell>
        </row>
        <row r="169">
          <cell r="A169">
            <v>15712179</v>
          </cell>
          <cell r="D169" t="str">
            <v>Sem Finder</v>
          </cell>
          <cell r="E169" t="str">
            <v>Sem Canal</v>
          </cell>
          <cell r="F169" t="str">
            <v>Raphael Pereira</v>
          </cell>
        </row>
        <row r="170">
          <cell r="A170">
            <v>15417457</v>
          </cell>
          <cell r="D170" t="str">
            <v>Sem Finder</v>
          </cell>
          <cell r="E170" t="str">
            <v>Sem Canal</v>
          </cell>
          <cell r="F170" t="str">
            <v>Raphael Pereira</v>
          </cell>
        </row>
        <row r="171">
          <cell r="A171">
            <v>475909</v>
          </cell>
          <cell r="D171" t="str">
            <v>Sem Finder</v>
          </cell>
          <cell r="E171" t="str">
            <v>Sem Canal</v>
          </cell>
          <cell r="F171" t="str">
            <v>Raphael Pereira</v>
          </cell>
        </row>
        <row r="172">
          <cell r="A172">
            <v>15158001</v>
          </cell>
          <cell r="D172" t="str">
            <v>Sem Finder</v>
          </cell>
          <cell r="E172" t="str">
            <v>Sem Canal</v>
          </cell>
          <cell r="F172" t="str">
            <v>Raphael Pereira</v>
          </cell>
        </row>
        <row r="173">
          <cell r="A173">
            <v>14962288</v>
          </cell>
          <cell r="D173" t="str">
            <v>Sem Finder</v>
          </cell>
          <cell r="E173" t="str">
            <v>Sem Canal</v>
          </cell>
          <cell r="F173" t="str">
            <v>Raphael Pereira</v>
          </cell>
        </row>
        <row r="174">
          <cell r="A174">
            <v>2590011</v>
          </cell>
          <cell r="D174" t="str">
            <v>Sem Finder</v>
          </cell>
          <cell r="E174" t="str">
            <v>Sem Canal</v>
          </cell>
          <cell r="F174" t="str">
            <v>Raphael Pereira</v>
          </cell>
        </row>
        <row r="175">
          <cell r="A175">
            <v>4224203</v>
          </cell>
          <cell r="D175" t="str">
            <v>Sem Finder</v>
          </cell>
          <cell r="E175" t="str">
            <v>Sem Canal</v>
          </cell>
          <cell r="F175" t="str">
            <v>Raphael Pereira</v>
          </cell>
        </row>
        <row r="176">
          <cell r="A176">
            <v>3725830</v>
          </cell>
          <cell r="D176" t="str">
            <v>Sem Finder</v>
          </cell>
          <cell r="E176" t="str">
            <v>Sem Canal</v>
          </cell>
          <cell r="F176" t="str">
            <v>Raphael Pereira</v>
          </cell>
        </row>
        <row r="177">
          <cell r="A177">
            <v>2721626</v>
          </cell>
          <cell r="D177" t="str">
            <v>Sem Finder</v>
          </cell>
          <cell r="E177" t="str">
            <v>Amure</v>
          </cell>
          <cell r="F177" t="str">
            <v>Raphael Pereira</v>
          </cell>
        </row>
        <row r="178">
          <cell r="A178">
            <v>2407771</v>
          </cell>
          <cell r="D178" t="str">
            <v>Sem Finder</v>
          </cell>
          <cell r="E178" t="str">
            <v>Gestora</v>
          </cell>
          <cell r="F178" t="str">
            <v>Gestora</v>
          </cell>
        </row>
        <row r="179">
          <cell r="A179">
            <v>2463230</v>
          </cell>
          <cell r="D179" t="str">
            <v>Sem Finder</v>
          </cell>
          <cell r="E179" t="str">
            <v>Gestora</v>
          </cell>
          <cell r="F179" t="str">
            <v>Gestora</v>
          </cell>
        </row>
        <row r="180">
          <cell r="A180">
            <v>3865136</v>
          </cell>
          <cell r="D180" t="str">
            <v>Sem Finder</v>
          </cell>
          <cell r="E180" t="str">
            <v>Gestora</v>
          </cell>
          <cell r="F180" t="str">
            <v>Gestora</v>
          </cell>
        </row>
        <row r="181">
          <cell r="A181">
            <v>3915058</v>
          </cell>
          <cell r="D181" t="str">
            <v>Sem Finder</v>
          </cell>
          <cell r="E181" t="str">
            <v>Gestora</v>
          </cell>
          <cell r="F181" t="str">
            <v>Gestora</v>
          </cell>
        </row>
        <row r="182">
          <cell r="A182">
            <v>4187254</v>
          </cell>
          <cell r="D182" t="str">
            <v>Sem Finder</v>
          </cell>
          <cell r="E182" t="str">
            <v>Gestora</v>
          </cell>
          <cell r="F182" t="str">
            <v>Gestora</v>
          </cell>
        </row>
        <row r="183">
          <cell r="A183">
            <v>4254520</v>
          </cell>
          <cell r="D183" t="str">
            <v>Sem Finder</v>
          </cell>
          <cell r="E183" t="str">
            <v>Gestora</v>
          </cell>
          <cell r="F183" t="str">
            <v>Gestora</v>
          </cell>
        </row>
        <row r="184">
          <cell r="A184">
            <v>4276704</v>
          </cell>
          <cell r="D184" t="str">
            <v>Sem Finder</v>
          </cell>
          <cell r="E184" t="str">
            <v>Gestora</v>
          </cell>
          <cell r="F184" t="str">
            <v>Gestora</v>
          </cell>
        </row>
        <row r="185">
          <cell r="A185">
            <v>4314502</v>
          </cell>
          <cell r="D185" t="str">
            <v>Sem Finder</v>
          </cell>
          <cell r="E185" t="str">
            <v>Gestora</v>
          </cell>
          <cell r="F185" t="str">
            <v>Gestora</v>
          </cell>
        </row>
        <row r="186">
          <cell r="A186">
            <v>4321162</v>
          </cell>
          <cell r="D186" t="str">
            <v>Sem Finder</v>
          </cell>
          <cell r="E186" t="str">
            <v>Gestora</v>
          </cell>
          <cell r="F186" t="str">
            <v>Gestora</v>
          </cell>
        </row>
        <row r="187">
          <cell r="A187">
            <v>6088037</v>
          </cell>
          <cell r="D187" t="str">
            <v>Sem Finder</v>
          </cell>
          <cell r="E187" t="str">
            <v>Gestora</v>
          </cell>
          <cell r="F187" t="str">
            <v>Gestora</v>
          </cell>
        </row>
        <row r="188">
          <cell r="A188">
            <v>6859159</v>
          </cell>
          <cell r="D188" t="str">
            <v>Sem Finder</v>
          </cell>
          <cell r="E188" t="str">
            <v>Gestora</v>
          </cell>
          <cell r="F188" t="str">
            <v>Gestora</v>
          </cell>
        </row>
        <row r="189">
          <cell r="A189">
            <v>7089771</v>
          </cell>
          <cell r="D189" t="str">
            <v>Sem Finder</v>
          </cell>
          <cell r="E189" t="str">
            <v>Gestora</v>
          </cell>
          <cell r="F189" t="str">
            <v>Gestora</v>
          </cell>
        </row>
        <row r="190">
          <cell r="A190">
            <v>7405171</v>
          </cell>
          <cell r="D190" t="str">
            <v>Sem Finder</v>
          </cell>
          <cell r="E190" t="str">
            <v>Gestora</v>
          </cell>
          <cell r="F190" t="str">
            <v>Gestora</v>
          </cell>
        </row>
        <row r="191">
          <cell r="A191">
            <v>8716625</v>
          </cell>
          <cell r="D191" t="str">
            <v>Sem Finder</v>
          </cell>
          <cell r="E191" t="str">
            <v>Gestora</v>
          </cell>
          <cell r="F191" t="str">
            <v>Gestora</v>
          </cell>
        </row>
        <row r="192">
          <cell r="A192">
            <v>8924873</v>
          </cell>
          <cell r="D192" t="str">
            <v>Sem Finder</v>
          </cell>
          <cell r="E192" t="str">
            <v>Gestora</v>
          </cell>
          <cell r="F192" t="str">
            <v>Gestora</v>
          </cell>
        </row>
        <row r="193">
          <cell r="A193">
            <v>11143553</v>
          </cell>
          <cell r="D193" t="str">
            <v>Sem Finder</v>
          </cell>
          <cell r="E193" t="str">
            <v>Gestora</v>
          </cell>
          <cell r="F193" t="str">
            <v>Gestora</v>
          </cell>
        </row>
        <row r="194">
          <cell r="A194">
            <v>14553874</v>
          </cell>
          <cell r="D194" t="str">
            <v>Sem Finder</v>
          </cell>
          <cell r="E194" t="str">
            <v>Gestora</v>
          </cell>
          <cell r="F194" t="str">
            <v>Gestora</v>
          </cell>
        </row>
        <row r="195">
          <cell r="A195">
            <v>401576</v>
          </cell>
          <cell r="D195" t="str">
            <v>Sem Finder</v>
          </cell>
          <cell r="E195" t="str">
            <v>Gestora</v>
          </cell>
          <cell r="F195" t="str">
            <v>Gestora</v>
          </cell>
        </row>
        <row r="196">
          <cell r="A196">
            <v>2227027</v>
          </cell>
          <cell r="D196" t="str">
            <v>Sem Finder</v>
          </cell>
          <cell r="E196" t="str">
            <v>Gestora</v>
          </cell>
          <cell r="F196" t="str">
            <v>Gestora</v>
          </cell>
        </row>
        <row r="197">
          <cell r="A197">
            <v>515324</v>
          </cell>
          <cell r="D197" t="str">
            <v>Sem Finder</v>
          </cell>
          <cell r="E197" t="str">
            <v>Gestora</v>
          </cell>
          <cell r="F197" t="str">
            <v>Gestora</v>
          </cell>
        </row>
        <row r="198">
          <cell r="A198">
            <v>2253996</v>
          </cell>
          <cell r="D198" t="str">
            <v>Sem Finder</v>
          </cell>
          <cell r="E198" t="str">
            <v>Gestora</v>
          </cell>
          <cell r="F198" t="str">
            <v>Gestora</v>
          </cell>
        </row>
        <row r="199">
          <cell r="A199">
            <v>2453464</v>
          </cell>
          <cell r="D199" t="str">
            <v>Sem Finder</v>
          </cell>
          <cell r="E199" t="str">
            <v>Gestora</v>
          </cell>
          <cell r="F199" t="str">
            <v>Gestora</v>
          </cell>
        </row>
        <row r="200">
          <cell r="A200">
            <v>15096054</v>
          </cell>
          <cell r="D200" t="str">
            <v>Sem Finder</v>
          </cell>
          <cell r="E200" t="str">
            <v>Gestora</v>
          </cell>
          <cell r="F200" t="str">
            <v>Gestora</v>
          </cell>
        </row>
        <row r="201">
          <cell r="A201">
            <v>2223215</v>
          </cell>
          <cell r="D201" t="str">
            <v>Sem Finder</v>
          </cell>
          <cell r="E201" t="str">
            <v>Gestora</v>
          </cell>
          <cell r="F201" t="str">
            <v>Gestora</v>
          </cell>
        </row>
        <row r="202">
          <cell r="A202">
            <v>2213682</v>
          </cell>
          <cell r="D202" t="str">
            <v>Sem Finder</v>
          </cell>
          <cell r="E202" t="str">
            <v>Gestora</v>
          </cell>
          <cell r="F202" t="str">
            <v>Gestora</v>
          </cell>
        </row>
        <row r="203">
          <cell r="A203">
            <v>2246319</v>
          </cell>
          <cell r="D203" t="str">
            <v>Sem Finder</v>
          </cell>
          <cell r="E203" t="str">
            <v>Gestora</v>
          </cell>
          <cell r="F203" t="str">
            <v>Gestora</v>
          </cell>
        </row>
        <row r="204">
          <cell r="A204">
            <v>12625645</v>
          </cell>
          <cell r="D204" t="str">
            <v>Pedro Chagas</v>
          </cell>
          <cell r="E204" t="str">
            <v>Gestora</v>
          </cell>
          <cell r="F204" t="str">
            <v>Gestora</v>
          </cell>
        </row>
        <row r="205">
          <cell r="A205">
            <v>2132767</v>
          </cell>
          <cell r="D205" t="str">
            <v>Sem Finder</v>
          </cell>
          <cell r="E205" t="str">
            <v>Gestora</v>
          </cell>
          <cell r="F205" t="str">
            <v>Gestora</v>
          </cell>
        </row>
        <row r="206">
          <cell r="A206">
            <v>9605443</v>
          </cell>
          <cell r="D206" t="str">
            <v>Sem Finder</v>
          </cell>
          <cell r="E206" t="str">
            <v>Gestora</v>
          </cell>
          <cell r="F206" t="str">
            <v>Gestora</v>
          </cell>
        </row>
        <row r="207">
          <cell r="A207">
            <v>11904454</v>
          </cell>
          <cell r="D207" t="str">
            <v>Pedro Chagas</v>
          </cell>
          <cell r="E207" t="str">
            <v>Gestora</v>
          </cell>
          <cell r="F207" t="str">
            <v>Gestora</v>
          </cell>
        </row>
        <row r="208">
          <cell r="A208">
            <v>9164528</v>
          </cell>
          <cell r="D208" t="str">
            <v>Sem Finder</v>
          </cell>
          <cell r="E208" t="str">
            <v>Gestora</v>
          </cell>
          <cell r="F208" t="str">
            <v>Gestora</v>
          </cell>
        </row>
        <row r="209">
          <cell r="A209">
            <v>3535105</v>
          </cell>
          <cell r="D209" t="str">
            <v>Sem Finder</v>
          </cell>
          <cell r="E209" t="str">
            <v>Gestora</v>
          </cell>
          <cell r="F209" t="str">
            <v>Gestora</v>
          </cell>
        </row>
        <row r="210">
          <cell r="A210">
            <v>6343060</v>
          </cell>
          <cell r="D210" t="str">
            <v>Sem Finder</v>
          </cell>
          <cell r="E210" t="str">
            <v>Gestora</v>
          </cell>
          <cell r="F210" t="str">
            <v>Gestora</v>
          </cell>
        </row>
        <row r="211">
          <cell r="A211">
            <v>2470247</v>
          </cell>
          <cell r="D211" t="str">
            <v>Sem Finder</v>
          </cell>
          <cell r="E211" t="str">
            <v>Gestora</v>
          </cell>
          <cell r="F211" t="str">
            <v>Gestora</v>
          </cell>
        </row>
        <row r="212">
          <cell r="A212">
            <v>5579130</v>
          </cell>
          <cell r="D212" t="str">
            <v>Sem Finder</v>
          </cell>
          <cell r="E212" t="str">
            <v>Gestora</v>
          </cell>
          <cell r="F212" t="str">
            <v>Gestora</v>
          </cell>
        </row>
        <row r="213">
          <cell r="A213">
            <v>13255155</v>
          </cell>
          <cell r="D213" t="str">
            <v>Pedro Chagas</v>
          </cell>
          <cell r="E213" t="str">
            <v>Gestora</v>
          </cell>
          <cell r="F213" t="str">
            <v>Gestora</v>
          </cell>
        </row>
        <row r="214">
          <cell r="A214">
            <v>15137970</v>
          </cell>
          <cell r="D214" t="str">
            <v>Sem Finder</v>
          </cell>
          <cell r="E214" t="str">
            <v>Gestora</v>
          </cell>
          <cell r="F214" t="str">
            <v>Gestora</v>
          </cell>
        </row>
        <row r="215">
          <cell r="A215">
            <v>5287603</v>
          </cell>
          <cell r="D215" t="str">
            <v>Sem Finder</v>
          </cell>
          <cell r="E215" t="str">
            <v>Gestora</v>
          </cell>
          <cell r="F215" t="str">
            <v>Gestora</v>
          </cell>
        </row>
        <row r="216">
          <cell r="A216">
            <v>7380010</v>
          </cell>
          <cell r="D216" t="str">
            <v>Sem Finder</v>
          </cell>
          <cell r="E216" t="str">
            <v>Gestora</v>
          </cell>
          <cell r="F216" t="str">
            <v>Gestora</v>
          </cell>
        </row>
        <row r="217">
          <cell r="A217">
            <v>230285</v>
          </cell>
          <cell r="D217" t="str">
            <v>Sem Finder</v>
          </cell>
          <cell r="E217" t="str">
            <v>Gestora</v>
          </cell>
          <cell r="F217" t="str">
            <v>Gestora</v>
          </cell>
        </row>
        <row r="218">
          <cell r="A218">
            <v>8147729</v>
          </cell>
          <cell r="D218" t="str">
            <v>Pedro Chagas</v>
          </cell>
          <cell r="E218" t="str">
            <v>Gestora</v>
          </cell>
          <cell r="F218" t="str">
            <v>Gestora</v>
          </cell>
        </row>
        <row r="219">
          <cell r="A219">
            <v>3872058</v>
          </cell>
          <cell r="D219" t="str">
            <v>Sem Finder</v>
          </cell>
          <cell r="E219" t="str">
            <v>Gestora</v>
          </cell>
          <cell r="F219" t="str">
            <v>Gestora</v>
          </cell>
        </row>
        <row r="220">
          <cell r="A220">
            <v>8774797</v>
          </cell>
          <cell r="D220" t="str">
            <v>Sem Finder</v>
          </cell>
          <cell r="E220" t="str">
            <v>Gestora</v>
          </cell>
          <cell r="F220" t="str">
            <v>Gestora</v>
          </cell>
        </row>
        <row r="221">
          <cell r="A221">
            <v>3508810</v>
          </cell>
          <cell r="D221" t="str">
            <v>Sem Finder</v>
          </cell>
          <cell r="E221" t="str">
            <v>Gestora</v>
          </cell>
          <cell r="F221" t="str">
            <v>Gestora</v>
          </cell>
        </row>
        <row r="222">
          <cell r="A222">
            <v>2142791</v>
          </cell>
          <cell r="D222" t="str">
            <v>Sem Finder</v>
          </cell>
          <cell r="E222" t="str">
            <v>Gestora</v>
          </cell>
          <cell r="F222" t="str">
            <v>Gestora</v>
          </cell>
        </row>
        <row r="223">
          <cell r="A223">
            <v>2541345</v>
          </cell>
          <cell r="D223" t="str">
            <v>Sem Finder</v>
          </cell>
          <cell r="E223" t="str">
            <v>Gestora</v>
          </cell>
          <cell r="F223" t="str">
            <v>Gestora</v>
          </cell>
        </row>
        <row r="224">
          <cell r="A224">
            <v>11887979</v>
          </cell>
          <cell r="D224" t="str">
            <v>Sem Finder</v>
          </cell>
          <cell r="E224" t="str">
            <v>Gestora</v>
          </cell>
          <cell r="F224" t="str">
            <v>Gestora</v>
          </cell>
        </row>
        <row r="225">
          <cell r="A225">
            <v>3112353</v>
          </cell>
          <cell r="D225" t="str">
            <v>Sem Finder</v>
          </cell>
          <cell r="E225" t="str">
            <v>Gestora</v>
          </cell>
          <cell r="F225" t="str">
            <v>Gestora</v>
          </cell>
        </row>
        <row r="226">
          <cell r="A226">
            <v>9853159</v>
          </cell>
          <cell r="D226" t="str">
            <v>Sem Finder</v>
          </cell>
          <cell r="E226" t="str">
            <v>Gestora</v>
          </cell>
          <cell r="F226" t="str">
            <v>Gestora</v>
          </cell>
        </row>
        <row r="227">
          <cell r="A227">
            <v>11325302</v>
          </cell>
          <cell r="D227" t="str">
            <v>Sem Finder</v>
          </cell>
          <cell r="E227" t="str">
            <v>Gestora</v>
          </cell>
          <cell r="F227" t="str">
            <v>Gestora</v>
          </cell>
        </row>
        <row r="228">
          <cell r="A228">
            <v>14947372</v>
          </cell>
          <cell r="D228" t="str">
            <v>Sem Finder</v>
          </cell>
          <cell r="E228" t="str">
            <v>Gestora</v>
          </cell>
          <cell r="F228" t="str">
            <v>Gestora</v>
          </cell>
        </row>
        <row r="229">
          <cell r="A229">
            <v>7535723</v>
          </cell>
          <cell r="D229" t="str">
            <v>Sem Finder</v>
          </cell>
          <cell r="E229" t="str">
            <v>Gestora</v>
          </cell>
          <cell r="F229" t="str">
            <v>Gestora</v>
          </cell>
        </row>
        <row r="230">
          <cell r="A230">
            <v>2988537</v>
          </cell>
          <cell r="D230" t="str">
            <v>Sem Finder</v>
          </cell>
          <cell r="E230" t="str">
            <v>Gestora</v>
          </cell>
          <cell r="F230" t="str">
            <v>Gestora</v>
          </cell>
        </row>
        <row r="231">
          <cell r="A231">
            <v>9063168</v>
          </cell>
          <cell r="D231" t="str">
            <v>Sem Finder</v>
          </cell>
          <cell r="E231" t="str">
            <v>Gestora</v>
          </cell>
          <cell r="F231" t="str">
            <v>Gestora</v>
          </cell>
        </row>
        <row r="232">
          <cell r="A232">
            <v>461002</v>
          </cell>
          <cell r="D232" t="str">
            <v>Sem Finder</v>
          </cell>
          <cell r="E232" t="str">
            <v>Gestora</v>
          </cell>
          <cell r="F232" t="str">
            <v>Gestora</v>
          </cell>
        </row>
        <row r="233">
          <cell r="A233">
            <v>7250411</v>
          </cell>
          <cell r="D233" t="str">
            <v>Sem Finder</v>
          </cell>
          <cell r="E233" t="str">
            <v>Gestora</v>
          </cell>
          <cell r="F233" t="str">
            <v>Gestora</v>
          </cell>
        </row>
        <row r="234">
          <cell r="A234">
            <v>15256099</v>
          </cell>
          <cell r="D234" t="str">
            <v>Sem Finder</v>
          </cell>
          <cell r="E234" t="str">
            <v>Gestora</v>
          </cell>
          <cell r="F234" t="str">
            <v>Gestora</v>
          </cell>
        </row>
        <row r="235">
          <cell r="A235">
            <v>5742554</v>
          </cell>
          <cell r="D235" t="str">
            <v>Sem Finder</v>
          </cell>
          <cell r="E235" t="str">
            <v>Gestora</v>
          </cell>
          <cell r="F235" t="str">
            <v>Gestora</v>
          </cell>
        </row>
        <row r="236">
          <cell r="A236">
            <v>3552532</v>
          </cell>
          <cell r="D236" t="str">
            <v>Sem Finder</v>
          </cell>
          <cell r="E236" t="str">
            <v>Gestora</v>
          </cell>
          <cell r="F236" t="str">
            <v>Gestora</v>
          </cell>
        </row>
        <row r="237">
          <cell r="A237">
            <v>9082689</v>
          </cell>
          <cell r="D237" t="str">
            <v>Sem Finder</v>
          </cell>
          <cell r="E237" t="str">
            <v>Gestora</v>
          </cell>
          <cell r="F237" t="str">
            <v>Gestora</v>
          </cell>
        </row>
        <row r="238">
          <cell r="A238">
            <v>14753352</v>
          </cell>
          <cell r="D238" t="str">
            <v>Sem Finder</v>
          </cell>
          <cell r="E238" t="str">
            <v>Gestora</v>
          </cell>
          <cell r="F238" t="str">
            <v>Gestora</v>
          </cell>
        </row>
        <row r="239">
          <cell r="A239">
            <v>3584873</v>
          </cell>
          <cell r="D239" t="str">
            <v>Sem Finder</v>
          </cell>
          <cell r="E239" t="str">
            <v>Gestora</v>
          </cell>
          <cell r="F239" t="str">
            <v>Gestora</v>
          </cell>
        </row>
        <row r="240">
          <cell r="A240">
            <v>8733878</v>
          </cell>
          <cell r="D240" t="str">
            <v>Sem Finder</v>
          </cell>
          <cell r="E240" t="str">
            <v>Gestora</v>
          </cell>
          <cell r="F240" t="str">
            <v>Gestora</v>
          </cell>
        </row>
        <row r="241">
          <cell r="A241">
            <v>2867137</v>
          </cell>
          <cell r="D241" t="str">
            <v>Sem Finder</v>
          </cell>
          <cell r="E241" t="str">
            <v>Gestora</v>
          </cell>
          <cell r="F241" t="str">
            <v>Gestora</v>
          </cell>
        </row>
        <row r="242">
          <cell r="A242">
            <v>2330181</v>
          </cell>
          <cell r="D242" t="str">
            <v>Sem Finder</v>
          </cell>
          <cell r="E242" t="str">
            <v>Gestora</v>
          </cell>
          <cell r="F242" t="str">
            <v>Gestora</v>
          </cell>
        </row>
        <row r="243">
          <cell r="A243">
            <v>2568475</v>
          </cell>
          <cell r="D243" t="str">
            <v>Sem Finder</v>
          </cell>
          <cell r="E243" t="str">
            <v>Gestora</v>
          </cell>
          <cell r="F243" t="str">
            <v>Gestora</v>
          </cell>
        </row>
        <row r="244">
          <cell r="A244">
            <v>9853158</v>
          </cell>
          <cell r="D244" t="str">
            <v>Sem Finder</v>
          </cell>
          <cell r="E244" t="str">
            <v>Gestora</v>
          </cell>
          <cell r="F244" t="str">
            <v>Gestora</v>
          </cell>
        </row>
        <row r="245">
          <cell r="A245">
            <v>7226400</v>
          </cell>
          <cell r="D245" t="str">
            <v>Sem Finder</v>
          </cell>
          <cell r="E245" t="str">
            <v>Gestora</v>
          </cell>
          <cell r="F245" t="str">
            <v>Gestora</v>
          </cell>
        </row>
        <row r="246">
          <cell r="A246">
            <v>15026232</v>
          </cell>
          <cell r="D246" t="str">
            <v>Sem Finder</v>
          </cell>
          <cell r="E246" t="str">
            <v>Gestora</v>
          </cell>
          <cell r="F246" t="str">
            <v>Gestora</v>
          </cell>
        </row>
        <row r="247">
          <cell r="A247">
            <v>8359831</v>
          </cell>
          <cell r="D247" t="str">
            <v>Sem Finder</v>
          </cell>
          <cell r="E247" t="str">
            <v>Gestora</v>
          </cell>
          <cell r="F247" t="str">
            <v>Gestora</v>
          </cell>
        </row>
        <row r="248">
          <cell r="A248">
            <v>14560065</v>
          </cell>
          <cell r="D248" t="str">
            <v>Sem Finder</v>
          </cell>
          <cell r="E248" t="str">
            <v>Gestora</v>
          </cell>
          <cell r="F248" t="str">
            <v>Gestora</v>
          </cell>
        </row>
        <row r="249">
          <cell r="A249">
            <v>7431174</v>
          </cell>
          <cell r="D249" t="str">
            <v>Sem Finder</v>
          </cell>
          <cell r="E249" t="str">
            <v>Gestora</v>
          </cell>
          <cell r="F249" t="str">
            <v>Gestora</v>
          </cell>
        </row>
        <row r="250">
          <cell r="A250">
            <v>2759815</v>
          </cell>
          <cell r="D250" t="str">
            <v>Sem Finder</v>
          </cell>
          <cell r="E250" t="str">
            <v>Gestora</v>
          </cell>
          <cell r="F250" t="str">
            <v>Gestora</v>
          </cell>
        </row>
        <row r="251">
          <cell r="A251">
            <v>9033206</v>
          </cell>
          <cell r="D251" t="str">
            <v>Sem Finder</v>
          </cell>
          <cell r="E251" t="str">
            <v>Gestora</v>
          </cell>
          <cell r="F251" t="str">
            <v>Gestora</v>
          </cell>
        </row>
        <row r="252">
          <cell r="A252">
            <v>9514040</v>
          </cell>
          <cell r="D252" t="str">
            <v>Sem Finder</v>
          </cell>
          <cell r="E252" t="str">
            <v>Gestora</v>
          </cell>
          <cell r="F252" t="str">
            <v>Gestora</v>
          </cell>
        </row>
        <row r="253">
          <cell r="A253">
            <v>4262045</v>
          </cell>
          <cell r="D253" t="str">
            <v>Sem Finder</v>
          </cell>
          <cell r="E253" t="str">
            <v>Gestora</v>
          </cell>
          <cell r="F253" t="str">
            <v>Gestora</v>
          </cell>
        </row>
        <row r="254">
          <cell r="A254">
            <v>5591544</v>
          </cell>
          <cell r="D254" t="str">
            <v>Sem Finder</v>
          </cell>
          <cell r="E254" t="str">
            <v>Gestora</v>
          </cell>
          <cell r="F254" t="str">
            <v>Gestora</v>
          </cell>
        </row>
        <row r="255">
          <cell r="A255">
            <v>11549481</v>
          </cell>
          <cell r="D255" t="str">
            <v>Sem Finder</v>
          </cell>
          <cell r="E255" t="str">
            <v>Gestora</v>
          </cell>
          <cell r="F255" t="str">
            <v>Gestora</v>
          </cell>
        </row>
        <row r="256">
          <cell r="A256">
            <v>2407804</v>
          </cell>
          <cell r="D256" t="str">
            <v>Sem Finder</v>
          </cell>
          <cell r="E256" t="str">
            <v>Gestora</v>
          </cell>
          <cell r="F256" t="str">
            <v>Gestora</v>
          </cell>
        </row>
        <row r="257">
          <cell r="A257">
            <v>2146885</v>
          </cell>
          <cell r="D257" t="str">
            <v>Sem Finder</v>
          </cell>
          <cell r="E257" t="str">
            <v>Gestora</v>
          </cell>
          <cell r="F257" t="str">
            <v>Gestora</v>
          </cell>
        </row>
        <row r="258">
          <cell r="A258">
            <v>3304050</v>
          </cell>
          <cell r="D258" t="str">
            <v>Sem Finder</v>
          </cell>
          <cell r="E258" t="str">
            <v>Gestora</v>
          </cell>
          <cell r="F258" t="str">
            <v>Gestora</v>
          </cell>
        </row>
        <row r="259">
          <cell r="A259">
            <v>3628928</v>
          </cell>
          <cell r="D259" t="str">
            <v>Sem Finder</v>
          </cell>
          <cell r="E259" t="str">
            <v>Gestora</v>
          </cell>
          <cell r="F259" t="str">
            <v>Gestora</v>
          </cell>
        </row>
        <row r="260">
          <cell r="A260">
            <v>9636717</v>
          </cell>
          <cell r="D260" t="str">
            <v>Sem Finder</v>
          </cell>
          <cell r="E260" t="str">
            <v>Gestora</v>
          </cell>
          <cell r="F260" t="str">
            <v>Gestora</v>
          </cell>
        </row>
        <row r="261">
          <cell r="A261">
            <v>459640</v>
          </cell>
          <cell r="D261" t="str">
            <v>Sem Finder</v>
          </cell>
          <cell r="E261" t="str">
            <v>Gestora</v>
          </cell>
          <cell r="F261" t="str">
            <v>Gestora</v>
          </cell>
        </row>
        <row r="262">
          <cell r="A262">
            <v>459911</v>
          </cell>
          <cell r="D262" t="str">
            <v>Sem Finder</v>
          </cell>
          <cell r="E262" t="str">
            <v>Gestora</v>
          </cell>
          <cell r="F262" t="str">
            <v>Gestora</v>
          </cell>
        </row>
        <row r="263">
          <cell r="A263">
            <v>9013898</v>
          </cell>
          <cell r="D263" t="str">
            <v>Sem Finder</v>
          </cell>
          <cell r="E263" t="str">
            <v>Gestora</v>
          </cell>
          <cell r="F263" t="str">
            <v>Gestora</v>
          </cell>
        </row>
        <row r="264">
          <cell r="A264">
            <v>9804395</v>
          </cell>
          <cell r="D264" t="str">
            <v>Sem Finder</v>
          </cell>
          <cell r="E264" t="str">
            <v>Gestora</v>
          </cell>
          <cell r="F264" t="str">
            <v>Gestora</v>
          </cell>
        </row>
        <row r="265">
          <cell r="A265">
            <v>329548</v>
          </cell>
          <cell r="D265" t="str">
            <v>Sem Finder</v>
          </cell>
          <cell r="E265" t="str">
            <v>Gestora</v>
          </cell>
          <cell r="F265" t="str">
            <v>Gestora</v>
          </cell>
        </row>
        <row r="266">
          <cell r="A266">
            <v>3209399</v>
          </cell>
          <cell r="D266" t="str">
            <v>Sem Finder</v>
          </cell>
          <cell r="E266" t="str">
            <v>Gestora</v>
          </cell>
          <cell r="F266" t="str">
            <v>Gestora</v>
          </cell>
        </row>
        <row r="267">
          <cell r="A267">
            <v>2318524</v>
          </cell>
          <cell r="D267" t="str">
            <v>Sem Finder</v>
          </cell>
          <cell r="E267" t="str">
            <v>Gestora</v>
          </cell>
          <cell r="F267" t="str">
            <v>Gestora</v>
          </cell>
        </row>
        <row r="268">
          <cell r="A268">
            <v>6445154</v>
          </cell>
          <cell r="D268" t="str">
            <v>Sem Finder</v>
          </cell>
          <cell r="E268" t="str">
            <v>Gestora</v>
          </cell>
          <cell r="F268" t="str">
            <v>Gestora</v>
          </cell>
        </row>
        <row r="269">
          <cell r="A269">
            <v>17108919</v>
          </cell>
          <cell r="D269" t="str">
            <v>Sem Finder</v>
          </cell>
          <cell r="E269" t="str">
            <v>Gestora</v>
          </cell>
          <cell r="F269" t="str">
            <v>Gestora</v>
          </cell>
        </row>
        <row r="270">
          <cell r="A270">
            <v>17151648</v>
          </cell>
          <cell r="D270" t="str">
            <v>Sem Finder</v>
          </cell>
          <cell r="E270" t="str">
            <v>Gestora</v>
          </cell>
          <cell r="F270" t="str">
            <v>Gestora</v>
          </cell>
        </row>
        <row r="271">
          <cell r="A271">
            <v>16704972</v>
          </cell>
          <cell r="D271" t="str">
            <v>Sem Finder</v>
          </cell>
          <cell r="E271" t="str">
            <v>Gestora</v>
          </cell>
          <cell r="F271" t="str">
            <v>Gestora</v>
          </cell>
        </row>
        <row r="272">
          <cell r="A272">
            <v>16154345</v>
          </cell>
          <cell r="D272" t="str">
            <v>Sem Finder</v>
          </cell>
          <cell r="E272" t="str">
            <v>Gestora</v>
          </cell>
          <cell r="F272" t="str">
            <v>Gestora</v>
          </cell>
        </row>
        <row r="273">
          <cell r="A273">
            <v>5914508</v>
          </cell>
          <cell r="D273" t="str">
            <v>Sem Finder</v>
          </cell>
          <cell r="E273" t="str">
            <v>Gestora</v>
          </cell>
          <cell r="F273" t="str">
            <v>Gestora</v>
          </cell>
        </row>
        <row r="274">
          <cell r="A274">
            <v>5978554</v>
          </cell>
          <cell r="D274" t="str">
            <v>Sem Finder</v>
          </cell>
          <cell r="E274" t="str">
            <v>Gestora</v>
          </cell>
          <cell r="F274" t="str">
            <v>Gestora</v>
          </cell>
        </row>
        <row r="275">
          <cell r="A275">
            <v>11451523</v>
          </cell>
          <cell r="D275" t="str">
            <v>Sem Finder</v>
          </cell>
          <cell r="E275" t="str">
            <v>Gestora</v>
          </cell>
          <cell r="F275" t="str">
            <v>Gestora</v>
          </cell>
        </row>
        <row r="276">
          <cell r="A276">
            <v>2601590</v>
          </cell>
          <cell r="D276" t="str">
            <v>Pedro Chagas</v>
          </cell>
          <cell r="E276" t="str">
            <v>Gestora</v>
          </cell>
          <cell r="F276" t="str">
            <v>Gestora</v>
          </cell>
        </row>
        <row r="277">
          <cell r="A277">
            <v>17607358</v>
          </cell>
          <cell r="D277" t="str">
            <v>Sem Finder</v>
          </cell>
          <cell r="E277" t="str">
            <v>Gestora</v>
          </cell>
          <cell r="F277" t="str">
            <v>Gestora</v>
          </cell>
        </row>
        <row r="278">
          <cell r="A278">
            <v>7973750</v>
          </cell>
          <cell r="D278" t="str">
            <v>José De Marchi</v>
          </cell>
          <cell r="E278" t="str">
            <v>Sem Canal</v>
          </cell>
          <cell r="F278" t="str">
            <v>Raphael Farias</v>
          </cell>
        </row>
        <row r="279">
          <cell r="A279">
            <v>2322370</v>
          </cell>
          <cell r="D279" t="str">
            <v>José De Marchi</v>
          </cell>
          <cell r="E279" t="str">
            <v>Sem Canal</v>
          </cell>
          <cell r="F279" t="str">
            <v>Adonias Noronha</v>
          </cell>
        </row>
        <row r="280">
          <cell r="A280">
            <v>3907976</v>
          </cell>
          <cell r="D280" t="str">
            <v>José De Marchi</v>
          </cell>
          <cell r="E280" t="str">
            <v>Sem Canal</v>
          </cell>
          <cell r="F280" t="str">
            <v>Raphael Farias</v>
          </cell>
        </row>
        <row r="281">
          <cell r="A281">
            <v>3979468</v>
          </cell>
          <cell r="D281" t="str">
            <v>José De Marchi</v>
          </cell>
          <cell r="E281" t="str">
            <v>Sem Canal</v>
          </cell>
          <cell r="F281" t="str">
            <v>Adonias Noronha</v>
          </cell>
        </row>
        <row r="282">
          <cell r="A282">
            <v>17877151</v>
          </cell>
          <cell r="D282" t="str">
            <v>Sem Finder</v>
          </cell>
          <cell r="E282" t="str">
            <v>Gestora</v>
          </cell>
          <cell r="F282" t="str">
            <v>Gestora</v>
          </cell>
        </row>
        <row r="283">
          <cell r="A283">
            <v>2139198</v>
          </cell>
          <cell r="D283" t="str">
            <v>Sem Finder</v>
          </cell>
          <cell r="E283" t="str">
            <v>Gestora</v>
          </cell>
          <cell r="F283" t="str">
            <v>Gestora</v>
          </cell>
        </row>
        <row r="284">
          <cell r="A284">
            <v>3537114</v>
          </cell>
          <cell r="D284" t="str">
            <v>Pedro Chagas</v>
          </cell>
          <cell r="E284" t="str">
            <v>Gestora</v>
          </cell>
          <cell r="F284" t="str">
            <v>Gestora</v>
          </cell>
        </row>
        <row r="285">
          <cell r="A285">
            <v>4239044</v>
          </cell>
          <cell r="D285" t="str">
            <v>José De Marchi</v>
          </cell>
          <cell r="E285" t="str">
            <v>Sem Canal</v>
          </cell>
          <cell r="F285" t="str">
            <v>Raphael Farias</v>
          </cell>
        </row>
        <row r="286">
          <cell r="A286">
            <v>2082493</v>
          </cell>
          <cell r="D286" t="str">
            <v>José De Marchi</v>
          </cell>
          <cell r="E286" t="str">
            <v>Sem Canal</v>
          </cell>
          <cell r="F286" t="str">
            <v>Raphael Farias</v>
          </cell>
        </row>
        <row r="287">
          <cell r="A287">
            <v>17701015</v>
          </cell>
          <cell r="D287" t="str">
            <v>José De Marchi</v>
          </cell>
          <cell r="E287" t="str">
            <v>Sem Canal</v>
          </cell>
          <cell r="F287" t="str">
            <v>Adonias Noronha</v>
          </cell>
        </row>
        <row r="288">
          <cell r="A288">
            <v>4618572</v>
          </cell>
          <cell r="D288" t="str">
            <v>Sem Finder</v>
          </cell>
          <cell r="E288" t="str">
            <v>Sem Canal</v>
          </cell>
          <cell r="F288" t="str">
            <v>Caroline Vlavianos</v>
          </cell>
        </row>
        <row r="289">
          <cell r="A289">
            <v>3616099</v>
          </cell>
          <cell r="D289" t="str">
            <v>José De Marchi</v>
          </cell>
          <cell r="E289" t="str">
            <v>Sem Canal</v>
          </cell>
          <cell r="F289" t="str">
            <v>Thayane Freitas</v>
          </cell>
        </row>
        <row r="290">
          <cell r="A290">
            <v>17193792</v>
          </cell>
          <cell r="D290" t="str">
            <v>Sem Finder</v>
          </cell>
          <cell r="E290" t="str">
            <v>Gestora</v>
          </cell>
          <cell r="F290" t="str">
            <v>Gestora</v>
          </cell>
        </row>
        <row r="291">
          <cell r="A291">
            <v>17930083</v>
          </cell>
          <cell r="D291" t="str">
            <v>Sem Finder</v>
          </cell>
          <cell r="E291" t="str">
            <v>Gestora</v>
          </cell>
          <cell r="F291" t="str">
            <v>Gestora</v>
          </cell>
        </row>
        <row r="292">
          <cell r="A292">
            <v>18045077</v>
          </cell>
          <cell r="D292" t="str">
            <v>Sem Finder</v>
          </cell>
          <cell r="E292" t="str">
            <v>Gestora</v>
          </cell>
          <cell r="F292" t="str">
            <v>Gestora</v>
          </cell>
        </row>
        <row r="293">
          <cell r="A293">
            <v>121397</v>
          </cell>
          <cell r="D293" t="str">
            <v>Sem Finder</v>
          </cell>
          <cell r="E293" t="str">
            <v>Gestora</v>
          </cell>
          <cell r="F293" t="str">
            <v>Legado</v>
          </cell>
        </row>
        <row r="294">
          <cell r="A294">
            <v>121355</v>
          </cell>
          <cell r="D294" t="str">
            <v>Sem Finder</v>
          </cell>
          <cell r="E294" t="str">
            <v>Gestora</v>
          </cell>
          <cell r="F294" t="str">
            <v>Legado</v>
          </cell>
        </row>
        <row r="295">
          <cell r="A295">
            <v>121356</v>
          </cell>
          <cell r="D295" t="str">
            <v>Sem Finder</v>
          </cell>
          <cell r="E295" t="str">
            <v>Gestora</v>
          </cell>
          <cell r="F295" t="str">
            <v>Legado</v>
          </cell>
        </row>
        <row r="296">
          <cell r="A296">
            <v>121343</v>
          </cell>
          <cell r="D296" t="str">
            <v>Sem Finder</v>
          </cell>
          <cell r="E296" t="str">
            <v>Gestora</v>
          </cell>
          <cell r="F296" t="str">
            <v>Legado</v>
          </cell>
        </row>
        <row r="297">
          <cell r="A297">
            <v>121282</v>
          </cell>
          <cell r="D297" t="str">
            <v>Sem Finder</v>
          </cell>
          <cell r="E297" t="str">
            <v>Gestora</v>
          </cell>
          <cell r="F297" t="str">
            <v>Legado</v>
          </cell>
        </row>
        <row r="298">
          <cell r="A298">
            <v>121227</v>
          </cell>
          <cell r="D298" t="str">
            <v>Sem Finder</v>
          </cell>
          <cell r="E298" t="str">
            <v>Gestora</v>
          </cell>
          <cell r="F298" t="str">
            <v>Legado</v>
          </cell>
        </row>
        <row r="299">
          <cell r="A299">
            <v>132705</v>
          </cell>
          <cell r="D299" t="str">
            <v>Sem Finder</v>
          </cell>
          <cell r="E299" t="str">
            <v>Gestora</v>
          </cell>
          <cell r="F299" t="str">
            <v>Legado</v>
          </cell>
        </row>
        <row r="300">
          <cell r="A300">
            <v>128641</v>
          </cell>
          <cell r="D300" t="str">
            <v>Sem Finder</v>
          </cell>
          <cell r="E300" t="str">
            <v>Gestora</v>
          </cell>
          <cell r="F300" t="str">
            <v>Legado</v>
          </cell>
        </row>
        <row r="301">
          <cell r="A301">
            <v>750119</v>
          </cell>
          <cell r="D301" t="str">
            <v>Sem Finder</v>
          </cell>
          <cell r="E301" t="str">
            <v>Gestora</v>
          </cell>
          <cell r="F301" t="str">
            <v>Legado</v>
          </cell>
        </row>
        <row r="302">
          <cell r="A302">
            <v>750274</v>
          </cell>
          <cell r="D302" t="str">
            <v>Sem Finder</v>
          </cell>
          <cell r="E302" t="str">
            <v>Gestora</v>
          </cell>
          <cell r="F302" t="str">
            <v>Legado</v>
          </cell>
        </row>
        <row r="303">
          <cell r="A303">
            <v>121556</v>
          </cell>
          <cell r="D303" t="str">
            <v>Sem Finder</v>
          </cell>
          <cell r="E303" t="str">
            <v>Gestora</v>
          </cell>
          <cell r="F303" t="str">
            <v>Legado</v>
          </cell>
        </row>
        <row r="304">
          <cell r="A304">
            <v>121552</v>
          </cell>
          <cell r="D304" t="str">
            <v>Sem Finder</v>
          </cell>
          <cell r="E304" t="str">
            <v>Gestora</v>
          </cell>
          <cell r="F304" t="str">
            <v>Legado</v>
          </cell>
        </row>
        <row r="305">
          <cell r="A305">
            <v>121505</v>
          </cell>
          <cell r="D305" t="str">
            <v>Sem Finder</v>
          </cell>
          <cell r="E305" t="str">
            <v>Gestora</v>
          </cell>
          <cell r="F305" t="str">
            <v>Legado</v>
          </cell>
        </row>
        <row r="306">
          <cell r="A306">
            <v>121519</v>
          </cell>
          <cell r="D306" t="str">
            <v>Sem Finder</v>
          </cell>
          <cell r="E306" t="str">
            <v>Gestora</v>
          </cell>
          <cell r="F306" t="str">
            <v>Legado</v>
          </cell>
        </row>
        <row r="307">
          <cell r="A307">
            <v>121522</v>
          </cell>
          <cell r="D307" t="str">
            <v>Sem Finder</v>
          </cell>
          <cell r="E307" t="str">
            <v>Gestora</v>
          </cell>
          <cell r="F307" t="str">
            <v>Legado</v>
          </cell>
        </row>
        <row r="308">
          <cell r="A308">
            <v>121419</v>
          </cell>
          <cell r="D308" t="str">
            <v>Sem Finder</v>
          </cell>
          <cell r="E308" t="str">
            <v>Gestora</v>
          </cell>
          <cell r="F308" t="str">
            <v>Legado</v>
          </cell>
        </row>
        <row r="309">
          <cell r="A309">
            <v>121490</v>
          </cell>
          <cell r="D309" t="str">
            <v>Sem Finder</v>
          </cell>
          <cell r="E309" t="str">
            <v>Gestora</v>
          </cell>
          <cell r="F309" t="str">
            <v>Legado</v>
          </cell>
        </row>
        <row r="310">
          <cell r="A310">
            <v>750320</v>
          </cell>
          <cell r="D310" t="str">
            <v>Sem Finder</v>
          </cell>
          <cell r="E310" t="str">
            <v>Gestora</v>
          </cell>
          <cell r="F310" t="str">
            <v>Legado</v>
          </cell>
        </row>
        <row r="311">
          <cell r="A311">
            <v>121246</v>
          </cell>
          <cell r="D311" t="str">
            <v>Sem Finder</v>
          </cell>
          <cell r="E311" t="str">
            <v>Gestora</v>
          </cell>
          <cell r="F311" t="str">
            <v>Legado</v>
          </cell>
        </row>
        <row r="312">
          <cell r="A312">
            <v>420416</v>
          </cell>
          <cell r="D312" t="str">
            <v>Sem Finder</v>
          </cell>
          <cell r="E312" t="str">
            <v>Gestora</v>
          </cell>
          <cell r="F312" t="str">
            <v>Legado</v>
          </cell>
        </row>
        <row r="313">
          <cell r="A313">
            <v>18084490</v>
          </cell>
          <cell r="D313" t="str">
            <v>Sem Finder</v>
          </cell>
          <cell r="E313" t="str">
            <v>Gestora</v>
          </cell>
          <cell r="F313" t="str">
            <v>Gestora</v>
          </cell>
        </row>
        <row r="314">
          <cell r="A314">
            <v>2930345</v>
          </cell>
          <cell r="D314" t="str">
            <v>José De Marchi</v>
          </cell>
          <cell r="E314" t="str">
            <v>Gestora</v>
          </cell>
          <cell r="F314" t="str">
            <v>Gestora</v>
          </cell>
        </row>
        <row r="315">
          <cell r="A315">
            <v>4467610</v>
          </cell>
          <cell r="D315" t="str">
            <v>Pedro Chagas</v>
          </cell>
          <cell r="E315" t="str">
            <v>Sem Canal</v>
          </cell>
          <cell r="F315" t="str">
            <v>Raphael Farias</v>
          </cell>
        </row>
        <row r="316">
          <cell r="A316">
            <v>481045</v>
          </cell>
          <cell r="D316" t="str">
            <v>Sem Finder</v>
          </cell>
          <cell r="E316" t="str">
            <v>Sem Canal</v>
          </cell>
          <cell r="F316" t="str">
            <v>Caroline Vlavianos</v>
          </cell>
        </row>
        <row r="317">
          <cell r="A317">
            <v>17830677</v>
          </cell>
          <cell r="D317" t="str">
            <v>José De Marchi</v>
          </cell>
          <cell r="E317" t="str">
            <v>Sem Canal</v>
          </cell>
          <cell r="F317" t="str">
            <v>Raphael Farias</v>
          </cell>
        </row>
        <row r="318">
          <cell r="A318">
            <v>18174279</v>
          </cell>
          <cell r="D318" t="str">
            <v>Sem Finder</v>
          </cell>
          <cell r="E318" t="str">
            <v>Sem Canal</v>
          </cell>
          <cell r="F318" t="str">
            <v>Caroline Vlavianos</v>
          </cell>
        </row>
        <row r="319">
          <cell r="A319">
            <v>8779161</v>
          </cell>
          <cell r="D319" t="str">
            <v>Sem Finder</v>
          </cell>
          <cell r="E319" t="str">
            <v>Sem Canal</v>
          </cell>
          <cell r="F319" t="str">
            <v>Caroline Vlavianos</v>
          </cell>
        </row>
        <row r="320">
          <cell r="A320">
            <v>3730356</v>
          </cell>
          <cell r="D320" t="str">
            <v>Sem Finder</v>
          </cell>
          <cell r="E320" t="str">
            <v>Gestora</v>
          </cell>
          <cell r="F320" t="str">
            <v>Gestora</v>
          </cell>
        </row>
        <row r="321">
          <cell r="A321">
            <v>2189341</v>
          </cell>
          <cell r="D321" t="str">
            <v>Sem Finder</v>
          </cell>
          <cell r="E321" t="str">
            <v>Sem Canal</v>
          </cell>
          <cell r="F321" t="str">
            <v>Caroline Vlavianos</v>
          </cell>
        </row>
        <row r="322">
          <cell r="A322">
            <v>15704088</v>
          </cell>
          <cell r="D322" t="str">
            <v>Sem Finder</v>
          </cell>
          <cell r="E322" t="str">
            <v>Gestora</v>
          </cell>
          <cell r="F322" t="str">
            <v>Gestora</v>
          </cell>
        </row>
        <row r="323">
          <cell r="A323">
            <v>15654727</v>
          </cell>
          <cell r="D323" t="str">
            <v>Sem Finder</v>
          </cell>
          <cell r="E323" t="str">
            <v>Gestora</v>
          </cell>
          <cell r="F323" t="str">
            <v>Gestora</v>
          </cell>
        </row>
        <row r="324">
          <cell r="A324">
            <v>15692555</v>
          </cell>
          <cell r="D324" t="str">
            <v>Sem Finder</v>
          </cell>
          <cell r="E324" t="str">
            <v>Gestora</v>
          </cell>
          <cell r="F324" t="str">
            <v>Gestora</v>
          </cell>
        </row>
        <row r="325">
          <cell r="A325">
            <v>16421702</v>
          </cell>
          <cell r="D325" t="str">
            <v>Pedro Chagas</v>
          </cell>
          <cell r="E325" t="str">
            <v>Gestora</v>
          </cell>
          <cell r="F325" t="str">
            <v>Gestora</v>
          </cell>
        </row>
        <row r="326">
          <cell r="A326">
            <v>16299474</v>
          </cell>
          <cell r="D326" t="str">
            <v>Pedro Chagas</v>
          </cell>
          <cell r="E326" t="str">
            <v>Gestora</v>
          </cell>
          <cell r="F326" t="str">
            <v>Gestora</v>
          </cell>
        </row>
        <row r="327">
          <cell r="A327">
            <v>16411477</v>
          </cell>
          <cell r="D327" t="str">
            <v>Pedro Chagas</v>
          </cell>
          <cell r="E327" t="str">
            <v>Gestora</v>
          </cell>
          <cell r="F327" t="str">
            <v>Gestora</v>
          </cell>
        </row>
        <row r="328">
          <cell r="A328">
            <v>18132900</v>
          </cell>
          <cell r="D328" t="str">
            <v>Sem Finder</v>
          </cell>
          <cell r="E328" t="str">
            <v>Gestora</v>
          </cell>
          <cell r="F328" t="str">
            <v>Gestora</v>
          </cell>
        </row>
        <row r="329">
          <cell r="A329">
            <v>320170</v>
          </cell>
          <cell r="D329" t="str">
            <v>José De Marchi</v>
          </cell>
          <cell r="E329" t="str">
            <v>Gestora</v>
          </cell>
          <cell r="F329" t="str">
            <v>Gestora</v>
          </cell>
        </row>
        <row r="330">
          <cell r="A330">
            <v>17679776</v>
          </cell>
          <cell r="D330" t="str">
            <v>Sem Finder</v>
          </cell>
          <cell r="E330" t="str">
            <v>Sem Canal</v>
          </cell>
          <cell r="F330" t="str">
            <v>Raphael Farias</v>
          </cell>
        </row>
        <row r="331">
          <cell r="A331">
            <v>480600</v>
          </cell>
          <cell r="D331" t="str">
            <v>Pedro Chagas</v>
          </cell>
          <cell r="E331" t="str">
            <v>Gestora</v>
          </cell>
          <cell r="F331" t="str">
            <v>Gestora</v>
          </cell>
        </row>
        <row r="332">
          <cell r="A332">
            <v>11204371</v>
          </cell>
          <cell r="D332" t="str">
            <v>Sem Finder</v>
          </cell>
          <cell r="E332" t="str">
            <v>Sem Canal</v>
          </cell>
          <cell r="F332" t="str">
            <v>Caroline Vlavianos</v>
          </cell>
        </row>
        <row r="333">
          <cell r="A333">
            <v>11279989</v>
          </cell>
          <cell r="D333" t="str">
            <v>Sem Finder</v>
          </cell>
          <cell r="E333" t="str">
            <v>Sem Canal</v>
          </cell>
          <cell r="F333" t="str">
            <v>Caroline Vlavianos</v>
          </cell>
        </row>
        <row r="334">
          <cell r="A334">
            <v>15534330</v>
          </cell>
          <cell r="D334" t="str">
            <v>Sem Finder</v>
          </cell>
          <cell r="E334" t="str">
            <v>Sem Canal</v>
          </cell>
          <cell r="F334" t="str">
            <v>Caroline Vlavianos</v>
          </cell>
        </row>
        <row r="335">
          <cell r="A335">
            <v>14988353</v>
          </cell>
          <cell r="D335" t="str">
            <v>Pedro Chagas</v>
          </cell>
          <cell r="E335" t="str">
            <v>Sem Canal</v>
          </cell>
          <cell r="F335" t="str">
            <v>Raphael Farias</v>
          </cell>
        </row>
        <row r="336">
          <cell r="A336">
            <v>12649611</v>
          </cell>
          <cell r="D336" t="str">
            <v>Sem Finder</v>
          </cell>
          <cell r="E336" t="str">
            <v>Gestora</v>
          </cell>
          <cell r="F336" t="str">
            <v>Gestora</v>
          </cell>
        </row>
        <row r="337">
          <cell r="A337">
            <v>18330872</v>
          </cell>
          <cell r="D337" t="str">
            <v>Pedro Chagas</v>
          </cell>
          <cell r="E337" t="str">
            <v>Sem Canal</v>
          </cell>
          <cell r="F337" t="str">
            <v>Raphael Farias</v>
          </cell>
        </row>
        <row r="338">
          <cell r="A338">
            <v>299536</v>
          </cell>
          <cell r="D338" t="str">
            <v>Sem Finder</v>
          </cell>
          <cell r="E338" t="str">
            <v>Sem Canal</v>
          </cell>
          <cell r="F338" t="str">
            <v>Legado</v>
          </cell>
        </row>
        <row r="339">
          <cell r="A339">
            <v>18333849</v>
          </cell>
          <cell r="D339" t="str">
            <v>Sem Finder</v>
          </cell>
          <cell r="E339" t="str">
            <v>Sem Canal</v>
          </cell>
          <cell r="F339" t="str">
            <v>Gestora</v>
          </cell>
        </row>
        <row r="340">
          <cell r="A340">
            <v>528617</v>
          </cell>
          <cell r="D340" t="str">
            <v>Sem Finder</v>
          </cell>
          <cell r="E340" t="str">
            <v>Sem Canal</v>
          </cell>
          <cell r="F340" t="str">
            <v>Leonardo Burle</v>
          </cell>
        </row>
        <row r="341">
          <cell r="A341">
            <v>18525171</v>
          </cell>
          <cell r="D341" t="str">
            <v>Sem Finder</v>
          </cell>
          <cell r="E341" t="str">
            <v>Sem Canal</v>
          </cell>
          <cell r="F341" t="str">
            <v>Thayane Freitas</v>
          </cell>
        </row>
        <row r="342">
          <cell r="A342">
            <v>259650</v>
          </cell>
          <cell r="D342" t="str">
            <v>Sem Finder</v>
          </cell>
          <cell r="E342" t="str">
            <v>Gestora</v>
          </cell>
          <cell r="F342" t="str">
            <v>Gestora</v>
          </cell>
        </row>
        <row r="343">
          <cell r="A343">
            <v>12914405</v>
          </cell>
          <cell r="D343" t="str">
            <v>Sem Finder</v>
          </cell>
          <cell r="E343" t="str">
            <v>Sem Canal</v>
          </cell>
          <cell r="F343" t="str">
            <v>Caroline Vlavianos</v>
          </cell>
        </row>
        <row r="344">
          <cell r="A344">
            <v>12925323</v>
          </cell>
          <cell r="D344" t="str">
            <v>Sem Finder</v>
          </cell>
          <cell r="E344" t="str">
            <v>Sem Canal</v>
          </cell>
          <cell r="F344" t="str">
            <v>Caroline Vlavianos</v>
          </cell>
        </row>
        <row r="345">
          <cell r="A345">
            <v>12166430</v>
          </cell>
          <cell r="D345" t="str">
            <v>Sem Finder</v>
          </cell>
          <cell r="E345" t="str">
            <v>Sem Canal</v>
          </cell>
          <cell r="F345" t="str">
            <v>Caroline Vlavianos</v>
          </cell>
        </row>
        <row r="346">
          <cell r="A346">
            <v>14893702</v>
          </cell>
          <cell r="D346" t="str">
            <v>Sem Finder</v>
          </cell>
          <cell r="E346" t="str">
            <v>Sem Canal</v>
          </cell>
          <cell r="F346" t="str">
            <v>Caroline Vlavianos</v>
          </cell>
        </row>
        <row r="347">
          <cell r="A347">
            <v>3794118</v>
          </cell>
          <cell r="D347" t="str">
            <v>Sem Finder</v>
          </cell>
          <cell r="E347" t="str">
            <v>Sem Canal</v>
          </cell>
          <cell r="F347" t="str">
            <v>Caroline Vlavianos</v>
          </cell>
        </row>
        <row r="348">
          <cell r="A348">
            <v>11944367</v>
          </cell>
          <cell r="D348" t="str">
            <v>Sem Finder</v>
          </cell>
          <cell r="E348" t="str">
            <v>Sem Canal</v>
          </cell>
          <cell r="F348" t="str">
            <v>Caroline Vlavianos</v>
          </cell>
        </row>
        <row r="349">
          <cell r="A349">
            <v>2261344</v>
          </cell>
          <cell r="D349" t="str">
            <v>Sem Finder</v>
          </cell>
          <cell r="E349" t="str">
            <v>Sem Canal</v>
          </cell>
          <cell r="F349" t="str">
            <v>Raphael Pereira</v>
          </cell>
        </row>
        <row r="350">
          <cell r="A350">
            <v>17668616</v>
          </cell>
          <cell r="D350" t="str">
            <v>Sem Finder</v>
          </cell>
          <cell r="E350" t="str">
            <v>Sem Canal</v>
          </cell>
          <cell r="F350" t="str">
            <v>Thayane Freitas</v>
          </cell>
        </row>
        <row r="351">
          <cell r="A351">
            <v>2126057</v>
          </cell>
          <cell r="D351" t="str">
            <v>Pedro Chagas</v>
          </cell>
          <cell r="E351" t="str">
            <v>Sem Canal</v>
          </cell>
          <cell r="F351" t="str">
            <v>Pedro Chagas</v>
          </cell>
        </row>
        <row r="352">
          <cell r="A352">
            <v>15415013</v>
          </cell>
          <cell r="D352" t="str">
            <v>Sem Finder</v>
          </cell>
          <cell r="E352" t="str">
            <v>Sem Canal</v>
          </cell>
          <cell r="F352" t="str">
            <v>Adonias Noronha</v>
          </cell>
        </row>
        <row r="353">
          <cell r="A353">
            <v>18726345</v>
          </cell>
          <cell r="D353" t="str">
            <v>Sem Finder</v>
          </cell>
          <cell r="E353" t="str">
            <v>Gabriel Boyer/Gustavo Faria</v>
          </cell>
          <cell r="F353" t="str">
            <v>Raphael Pereira</v>
          </cell>
        </row>
        <row r="354">
          <cell r="A354">
            <v>17918865</v>
          </cell>
          <cell r="D354" t="str">
            <v>Gustavo Faria</v>
          </cell>
          <cell r="E354" t="str">
            <v>Sem Canal</v>
          </cell>
          <cell r="F354" t="str">
            <v>Raphael Pereira</v>
          </cell>
        </row>
        <row r="355">
          <cell r="A355">
            <v>3967729</v>
          </cell>
          <cell r="D355" t="str">
            <v>Gustavo Faria</v>
          </cell>
          <cell r="E355" t="str">
            <v>Sem Canal</v>
          </cell>
          <cell r="F355" t="str">
            <v>Raphael Pereira</v>
          </cell>
        </row>
        <row r="356">
          <cell r="A356">
            <v>16991102</v>
          </cell>
          <cell r="D356" t="str">
            <v>Gustavo Faria</v>
          </cell>
          <cell r="E356" t="str">
            <v>Sem Canal</v>
          </cell>
          <cell r="F356" t="str">
            <v>Raphael Pereira</v>
          </cell>
        </row>
        <row r="357">
          <cell r="A357">
            <v>14895450</v>
          </cell>
          <cell r="D357" t="str">
            <v>Gustavo Faria</v>
          </cell>
          <cell r="E357" t="str">
            <v>Sem Canal</v>
          </cell>
          <cell r="F357" t="str">
            <v>Raphael Pereira</v>
          </cell>
        </row>
        <row r="358">
          <cell r="A358">
            <v>18148695</v>
          </cell>
          <cell r="D358" t="str">
            <v>Gustavo Faria</v>
          </cell>
          <cell r="E358" t="str">
            <v>Sem Canal</v>
          </cell>
          <cell r="F358" t="str">
            <v>Raphael Pereira</v>
          </cell>
        </row>
        <row r="359">
          <cell r="A359">
            <v>17919108</v>
          </cell>
          <cell r="D359" t="str">
            <v>Gustavo Faria</v>
          </cell>
          <cell r="E359" t="str">
            <v>Sem Canal</v>
          </cell>
          <cell r="F359" t="str">
            <v>Raphael Pereira</v>
          </cell>
        </row>
        <row r="360">
          <cell r="A360">
            <v>16354299</v>
          </cell>
          <cell r="D360" t="str">
            <v>Gustavo Faria</v>
          </cell>
          <cell r="E360" t="str">
            <v>Sem Canal</v>
          </cell>
          <cell r="F360" t="str">
            <v>Raphael Pereira</v>
          </cell>
        </row>
        <row r="361">
          <cell r="A361">
            <v>18726345</v>
          </cell>
          <cell r="D361" t="str">
            <v>Gustavo Faria</v>
          </cell>
          <cell r="E361" t="str">
            <v>Sem Canal</v>
          </cell>
          <cell r="F361" t="str">
            <v>Raphael Pereira</v>
          </cell>
        </row>
        <row r="362">
          <cell r="A362">
            <v>18482847</v>
          </cell>
          <cell r="D362" t="str">
            <v>Gustavo Faria</v>
          </cell>
          <cell r="E362" t="str">
            <v>Sem Canal</v>
          </cell>
          <cell r="F362" t="str">
            <v>Raphael Pereira</v>
          </cell>
        </row>
        <row r="363">
          <cell r="A363">
            <v>9861046</v>
          </cell>
          <cell r="D363" t="str">
            <v>Gustavo Faria</v>
          </cell>
          <cell r="E363" t="str">
            <v>Sem Canal</v>
          </cell>
          <cell r="F363" t="str">
            <v>Raphael Pereira</v>
          </cell>
        </row>
        <row r="364">
          <cell r="A364">
            <v>9142027</v>
          </cell>
          <cell r="D364" t="str">
            <v>José De Marchi</v>
          </cell>
          <cell r="E364" t="str">
            <v>Sem Canal</v>
          </cell>
          <cell r="F364" t="str">
            <v>Adonias Noronha</v>
          </cell>
        </row>
        <row r="365">
          <cell r="A365">
            <v>6001104</v>
          </cell>
          <cell r="D365" t="str">
            <v>Sem Finder</v>
          </cell>
          <cell r="E365" t="str">
            <v>Sem Canal</v>
          </cell>
          <cell r="F365" t="str">
            <v>Gestora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7BD92-F71F-47A0-9FC5-DD0E1695895D}" name="Base_CRM" displayName="Base_CRM" ref="A1:T770" totalsRowShown="0" dataDxfId="12">
  <autoFilter ref="A1:T770" xr:uid="{D549D283-27FE-4939-BC3B-358315806E2D}"/>
  <tableColumns count="20">
    <tableColumn id="1" xr3:uid="{0D436FD5-3E46-4A42-BF01-065EC5777D1A}" name="Cód do Cliente"/>
    <tableColumn id="2" xr3:uid="{3DC10B91-5B8C-4ED5-BF0B-EDF8C46668B2}" name="Nome Cliente" dataDxfId="11"/>
    <tableColumn id="3" xr3:uid="{B0072FB5-5B5B-42B5-B695-D05B2B321D04}" name="Assessor" dataDxfId="10"/>
    <tableColumn id="4" xr3:uid="{F5496D1E-4950-4412-A846-473A6D892387}" name="PL Tailor" dataDxfId="9"/>
    <tableColumn id="5" xr3:uid="{9408CCC2-58AB-4718-9E15-33A596DFB1DE}" name="PL Declarado"/>
    <tableColumn id="6" xr3:uid="{B887E28F-41BC-4934-8FD1-1CABC419F041}" name="Perfil"/>
    <tableColumn id="7" xr3:uid="{1FEBAAB3-29C5-4C50-B6F6-01E48028A142}" name="Setor"/>
    <tableColumn id="8" xr3:uid="{151942C2-164B-4F5C-83D7-2BA3C0A1DB22}" name="Nascimento" dataDxfId="8"/>
    <tableColumn id="9" xr3:uid="{154411DA-304D-4506-95B2-A7851EE7A80E}" name="Cidade" dataDxfId="7"/>
    <tableColumn id="10" xr3:uid="{21FB4834-4615-48A7-9D85-7FAC65BF5E00}" name="Estado"/>
    <tableColumn id="11" xr3:uid="{E0E19438-6948-43F5-B20B-C31B8D458BEF}" name="Estado Civil"/>
    <tableColumn id="13" xr3:uid="{B2278DC0-9963-4CDA-ABDA-B243D2BBB906}" name="Documento"/>
    <tableColumn id="15" xr3:uid="{FB4A328E-A916-42EB-8E5B-31D433289E9C}" name="TAG"/>
    <tableColumn id="14" xr3:uid="{CB4F7523-1984-411D-AC4A-3B7D95391EF5}" name="Endereço" dataDxfId="6">
      <calculatedColumnFormula>Base_CRM[[#This Row],[Cidade]]&amp;"/"&amp;Base_CRM[[#This Row],[Estado]]</calculatedColumnFormula>
    </tableColumn>
    <tableColumn id="12" xr3:uid="{B841234F-9646-4E82-9C3F-6511B1EA9494}" name="SoW" dataDxfId="5">
      <calculatedColumnFormula>IFERROR(IF(Base_CRM[[#This Row],[PL Tailor]]&gt;Base_CRM[[#This Row],[PL Declarado]],1,Base_CRM[[#This Row],[PL Tailor]]/Base_CRM[[#This Row],[PL Declarado]]),0)</calculatedColumnFormula>
    </tableColumn>
    <tableColumn id="21" xr3:uid="{6E40C360-D05F-4A7E-9A2D-696C63231B52}" name="Tipo de Cliente" dataDxfId="4">
      <calculatedColumnFormula>IF(Base_CRM[[#This Row],[Estado Civil]]="","PESSOA JURÍDICA","PESSOA FÍSICA")</calculatedColumnFormula>
    </tableColumn>
    <tableColumn id="16" xr3:uid="{664DE852-E9EB-4947-BBC1-04EAB67C0E90}" name="Banker" dataDxfId="3">
      <calculatedColumnFormula>_xlfn.XLOOKUP(Base_CRM[[#This Row],[Cód do Cliente]],'[1]F &amp; O'!$A:$A,'[1]F &amp; O'!$F:$F,_xlfn.XLOOKUP(Base_CRM[[#This Row],[Assessor]],[1]DePara!$A:$A,[1]DePara!$D:$D,"Outros",0,1),0,1)</calculatedColumnFormula>
    </tableColumn>
    <tableColumn id="17" xr3:uid="{37C60CB7-2436-4780-8DD9-95FA7E6E81B4}" name="Finder" dataDxfId="2">
      <calculatedColumnFormula>_xlfn.XLOOKUP(Base_CRM[[#This Row],[Cód do Cliente]],'[1]F &amp; O'!$A:$A,'[1]F &amp; O'!D:D,"Sem Finder",0,1)</calculatedColumnFormula>
    </tableColumn>
    <tableColumn id="19" xr3:uid="{B9FA06E0-544C-4B5A-8590-A6F1270D8D02}" name="Canal" dataDxfId="1">
      <calculatedColumnFormula>_xlfn.XLOOKUP(Base_CRM[[#This Row],[Cód do Cliente]],'[1]F &amp; O'!$A:$A,'[1]F &amp; O'!E:E,"Sem Canal",0,1)</calculatedColumnFormula>
    </tableColumn>
    <tableColumn id="22" xr3:uid="{0DBE285D-D033-416D-8850-A09127593103}" name="Casa" dataDxfId="0">
      <calculatedColumnFormula>"Cliente XP"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66F2-CC0C-4775-A842-98029A45ED33}">
  <sheetPr codeName="Planilha6">
    <tabColor theme="4"/>
  </sheetPr>
  <dimension ref="A1:T770"/>
  <sheetViews>
    <sheetView tabSelected="1" topLeftCell="G1" zoomScale="80" zoomScaleNormal="80" workbookViewId="0">
      <selection activeCell="K790" sqref="K790"/>
    </sheetView>
  </sheetViews>
  <sheetFormatPr defaultColWidth="12.5546875" defaultRowHeight="14.4" x14ac:dyDescent="0.3"/>
  <cols>
    <col min="1" max="1" width="16" bestFit="1" customWidth="1"/>
    <col min="2" max="2" width="59.109375" style="8" bestFit="1" customWidth="1"/>
    <col min="3" max="3" width="10.6640625" style="9" bestFit="1" customWidth="1"/>
    <col min="4" max="4" width="14.33203125" style="8" customWidth="1"/>
    <col min="5" max="5" width="14.109375" bestFit="1" customWidth="1"/>
    <col min="6" max="6" width="16.6640625" bestFit="1" customWidth="1"/>
    <col min="7" max="7" width="42.88671875" bestFit="1" customWidth="1"/>
    <col min="8" max="8" width="13.44140625" style="13" bestFit="1" customWidth="1"/>
    <col min="9" max="9" width="14.88671875" bestFit="1" customWidth="1"/>
    <col min="10" max="10" width="8.88671875" bestFit="1" customWidth="1"/>
    <col min="11" max="11" width="37.109375" bestFit="1" customWidth="1"/>
    <col min="12" max="12" width="18.6640625" bestFit="1" customWidth="1"/>
    <col min="13" max="13" width="58.5546875" bestFit="1" customWidth="1"/>
    <col min="14" max="14" width="29.88671875" bestFit="1" customWidth="1"/>
    <col min="15" max="15" width="7.88671875" style="14" bestFit="1" customWidth="1"/>
    <col min="16" max="16" width="16.88671875" bestFit="1" customWidth="1"/>
    <col min="17" max="17" width="19.5546875" bestFit="1" customWidth="1"/>
    <col min="18" max="18" width="19" bestFit="1" customWidth="1"/>
    <col min="19" max="19" width="19" style="11" bestFit="1" customWidth="1"/>
    <col min="20" max="20" width="10.55468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t="s">
        <v>16</v>
      </c>
      <c r="R1" s="7" t="s">
        <v>17</v>
      </c>
      <c r="S1" s="7" t="s">
        <v>18</v>
      </c>
      <c r="T1" t="s">
        <v>19</v>
      </c>
    </row>
    <row r="2" spans="1:20" x14ac:dyDescent="0.3">
      <c r="A2">
        <v>1006710</v>
      </c>
      <c r="B2" s="8" t="s">
        <v>20</v>
      </c>
      <c r="C2" s="9" t="s">
        <v>21</v>
      </c>
      <c r="D2" s="8">
        <v>288378.15999999997</v>
      </c>
      <c r="E2">
        <v>10000</v>
      </c>
      <c r="F2" t="s">
        <v>22</v>
      </c>
      <c r="G2" t="s">
        <v>23</v>
      </c>
      <c r="H2" s="10">
        <v>34883</v>
      </c>
      <c r="I2" s="10" t="s">
        <v>24</v>
      </c>
      <c r="K2" t="s">
        <v>25</v>
      </c>
      <c r="L2" t="s">
        <v>26</v>
      </c>
      <c r="M2" t="s">
        <v>27</v>
      </c>
      <c r="N2" s="11" t="str">
        <f>Base_CRM[[#This Row],[Cidade]]&amp;"/"&amp;Base_CRM[[#This Row],[Estado]]</f>
        <v>RIO DE JANEIRO/</v>
      </c>
      <c r="O2" s="12">
        <f>IFERROR(IF(Base_CRM[[#This Row],[PL Tailor]]&gt;Base_CRM[[#This Row],[PL Declarado]],1,Base_CRM[[#This Row],[PL Tailor]]/Base_CRM[[#This Row],[PL Declarado]]),0)</f>
        <v>1</v>
      </c>
      <c r="P2" s="11" t="str">
        <f>IF(Base_CRM[[#This Row],[Estado Civil]]="","PESSOA JURÍDICA","PESSOA FÍSICA")</f>
        <v>PESSOA FÍSICA</v>
      </c>
      <c r="Q2" t="str">
        <f>_xlfn.XLOOKUP(Base_CRM[[#This Row],[Cód do Cliente]],'[1]F &amp; O'!$A:$A,'[1]F &amp; O'!$F:$F,_xlfn.XLOOKUP(Base_CRM[[#This Row],[Assessor]],[1]DePara!$A:$A,[1]DePara!$D:$D,"Outros",0,1),0,1)</f>
        <v>Leonardo Burle</v>
      </c>
      <c r="R2" s="11" t="str">
        <f>_xlfn.XLOOKUP(Base_CRM[[#This Row],[Cód do Cliente]],'[1]F &amp; O'!$A:$A,'[1]F &amp; O'!D:D,"Sem Finder",0,1)</f>
        <v>Sem Finder</v>
      </c>
      <c r="S2" s="11" t="str">
        <f>_xlfn.XLOOKUP(Base_CRM[[#This Row],[Cód do Cliente]],'[1]F &amp; O'!$A:$A,'[1]F &amp; O'!E:E,"Sem Canal",0,1)</f>
        <v>Sem Canal</v>
      </c>
      <c r="T2" s="11" t="str">
        <f t="shared" ref="T2:T65" si="0">"Cliente XP"</f>
        <v>Cliente XP</v>
      </c>
    </row>
    <row r="3" spans="1:20" x14ac:dyDescent="0.3">
      <c r="A3">
        <v>11004732</v>
      </c>
      <c r="B3" s="8" t="s">
        <v>28</v>
      </c>
      <c r="C3" s="9" t="s">
        <v>21</v>
      </c>
      <c r="D3" s="8">
        <v>5718932.7000000002</v>
      </c>
      <c r="E3">
        <v>6000000</v>
      </c>
      <c r="F3" t="s">
        <v>29</v>
      </c>
      <c r="G3" t="s">
        <v>30</v>
      </c>
      <c r="H3" s="10">
        <v>31444</v>
      </c>
      <c r="I3" s="10" t="s">
        <v>31</v>
      </c>
      <c r="K3" t="s">
        <v>25</v>
      </c>
      <c r="L3" t="s">
        <v>32</v>
      </c>
      <c r="N3" s="11" t="str">
        <f>Base_CRM[[#This Row],[Cidade]]&amp;"/"&amp;Base_CRM[[#This Row],[Estado]]</f>
        <v>SAO PAULO/</v>
      </c>
      <c r="O3" s="12">
        <f>IFERROR(IF(Base_CRM[[#This Row],[PL Tailor]]&gt;Base_CRM[[#This Row],[PL Declarado]],1,Base_CRM[[#This Row],[PL Tailor]]/Base_CRM[[#This Row],[PL Declarado]]),0)</f>
        <v>0.95315545000000002</v>
      </c>
      <c r="P3" s="11" t="str">
        <f>IF(Base_CRM[[#This Row],[Estado Civil]]="","PESSOA JURÍDICA","PESSOA FÍSICA")</f>
        <v>PESSOA FÍSICA</v>
      </c>
      <c r="Q3" t="str">
        <f>_xlfn.XLOOKUP(Base_CRM[[#This Row],[Cód do Cliente]],'[1]F &amp; O'!$A:$A,'[1]F &amp; O'!$F:$F,_xlfn.XLOOKUP(Base_CRM[[#This Row],[Assessor]],[1]DePara!$A:$A,[1]DePara!$D:$D,"Outros",0,1),0,1)</f>
        <v>Leonardo Burle</v>
      </c>
      <c r="R3" s="11" t="str">
        <f>_xlfn.XLOOKUP(Base_CRM[[#This Row],[Cód do Cliente]],'[1]F &amp; O'!$A:$A,'[1]F &amp; O'!D:D,"Sem Finder",0,1)</f>
        <v>Sem Finder</v>
      </c>
      <c r="S3" s="11" t="str">
        <f>_xlfn.XLOOKUP(Base_CRM[[#This Row],[Cód do Cliente]],'[1]F &amp; O'!$A:$A,'[1]F &amp; O'!E:E,"Sem Canal",0,1)</f>
        <v>Sem Canal</v>
      </c>
      <c r="T3" s="11" t="str">
        <f t="shared" si="0"/>
        <v>Cliente XP</v>
      </c>
    </row>
    <row r="4" spans="1:20" x14ac:dyDescent="0.3">
      <c r="A4">
        <v>11138329</v>
      </c>
      <c r="B4" s="8" t="s">
        <v>33</v>
      </c>
      <c r="C4" s="9" t="s">
        <v>34</v>
      </c>
      <c r="D4" s="8">
        <v>173718.85</v>
      </c>
      <c r="E4">
        <v>2000000</v>
      </c>
      <c r="F4" t="s">
        <v>22</v>
      </c>
      <c r="G4" t="s">
        <v>35</v>
      </c>
      <c r="H4" s="10">
        <v>31706</v>
      </c>
      <c r="I4" s="10" t="s">
        <v>36</v>
      </c>
      <c r="K4" t="s">
        <v>25</v>
      </c>
      <c r="L4" t="s">
        <v>37</v>
      </c>
      <c r="N4" s="11" t="str">
        <f>Base_CRM[[#This Row],[Cidade]]&amp;"/"&amp;Base_CRM[[#This Row],[Estado]]</f>
        <v>BRASOPOLIS/</v>
      </c>
      <c r="O4" s="12">
        <f>IFERROR(IF(Base_CRM[[#This Row],[PL Tailor]]&gt;Base_CRM[[#This Row],[PL Declarado]],1,Base_CRM[[#This Row],[PL Tailor]]/Base_CRM[[#This Row],[PL Declarado]]),0)</f>
        <v>8.6859425000000004E-2</v>
      </c>
      <c r="P4" s="11" t="str">
        <f>IF(Base_CRM[[#This Row],[Estado Civil]]="","PESSOA JURÍDICA","PESSOA FÍSICA")</f>
        <v>PESSOA FÍSICA</v>
      </c>
      <c r="Q4" t="str">
        <f>_xlfn.XLOOKUP(Base_CRM[[#This Row],[Cód do Cliente]],'[1]F &amp; O'!$A:$A,'[1]F &amp; O'!$F:$F,_xlfn.XLOOKUP(Base_CRM[[#This Row],[Assessor]],[1]DePara!$A:$A,[1]DePara!$D:$D,"Outros",0,1),0,1)</f>
        <v>Adonias Noronha</v>
      </c>
      <c r="R4" s="11" t="str">
        <f>_xlfn.XLOOKUP(Base_CRM[[#This Row],[Cód do Cliente]],'[1]F &amp; O'!$A:$A,'[1]F &amp; O'!D:D,"Sem Finder",0,1)</f>
        <v>Sem Finder</v>
      </c>
      <c r="S4" s="11" t="str">
        <f>_xlfn.XLOOKUP(Base_CRM[[#This Row],[Cód do Cliente]],'[1]F &amp; O'!$A:$A,'[1]F &amp; O'!E:E,"Sem Canal",0,1)</f>
        <v>Sem Canal</v>
      </c>
      <c r="T4" s="11" t="str">
        <f t="shared" si="0"/>
        <v>Cliente XP</v>
      </c>
    </row>
    <row r="5" spans="1:20" x14ac:dyDescent="0.3">
      <c r="A5">
        <v>11143553</v>
      </c>
      <c r="B5" s="8" t="s">
        <v>38</v>
      </c>
      <c r="C5" s="9" t="s">
        <v>39</v>
      </c>
      <c r="D5" s="8">
        <v>0</v>
      </c>
      <c r="E5">
        <v>500000</v>
      </c>
      <c r="F5" t="s">
        <v>40</v>
      </c>
      <c r="G5" t="s">
        <v>23</v>
      </c>
      <c r="H5" s="10">
        <v>24817</v>
      </c>
      <c r="I5" s="10" t="s">
        <v>41</v>
      </c>
      <c r="K5" t="s">
        <v>42</v>
      </c>
      <c r="L5" t="s">
        <v>43</v>
      </c>
      <c r="N5" s="11" t="str">
        <f>Base_CRM[[#This Row],[Cidade]]&amp;"/"&amp;Base_CRM[[#This Row],[Estado]]</f>
        <v>OSASCO/</v>
      </c>
      <c r="O5" s="12">
        <f>IFERROR(IF(Base_CRM[[#This Row],[PL Tailor]]&gt;Base_CRM[[#This Row],[PL Declarado]],1,Base_CRM[[#This Row],[PL Tailor]]/Base_CRM[[#This Row],[PL Declarado]]),0)</f>
        <v>0</v>
      </c>
      <c r="P5" s="11" t="str">
        <f>IF(Base_CRM[[#This Row],[Estado Civil]]="","PESSOA JURÍDICA","PESSOA FÍSICA")</f>
        <v>PESSOA FÍSICA</v>
      </c>
      <c r="Q5" t="str">
        <f>_xlfn.XLOOKUP(Base_CRM[[#This Row],[Cód do Cliente]],'[1]F &amp; O'!$A:$A,'[1]F &amp; O'!$F:$F,_xlfn.XLOOKUP(Base_CRM[[#This Row],[Assessor]],[1]DePara!$A:$A,[1]DePara!$D:$D,"Outros",0,1),0,1)</f>
        <v>Gestora</v>
      </c>
      <c r="R5" s="11" t="str">
        <f>_xlfn.XLOOKUP(Base_CRM[[#This Row],[Cód do Cliente]],'[1]F &amp; O'!$A:$A,'[1]F &amp; O'!D:D,"Sem Finder",0,1)</f>
        <v>Sem Finder</v>
      </c>
      <c r="S5" s="11" t="str">
        <f>_xlfn.XLOOKUP(Base_CRM[[#This Row],[Cód do Cliente]],'[1]F &amp; O'!$A:$A,'[1]F &amp; O'!E:E,"Sem Canal",0,1)</f>
        <v>Gestora</v>
      </c>
      <c r="T5" s="11" t="str">
        <f t="shared" si="0"/>
        <v>Cliente XP</v>
      </c>
    </row>
    <row r="6" spans="1:20" x14ac:dyDescent="0.3">
      <c r="A6">
        <v>11167944</v>
      </c>
      <c r="B6" s="8" t="s">
        <v>44</v>
      </c>
      <c r="C6" s="9" t="s">
        <v>34</v>
      </c>
      <c r="D6" s="8">
        <v>25927.06</v>
      </c>
      <c r="E6">
        <v>4000</v>
      </c>
      <c r="F6" t="s">
        <v>29</v>
      </c>
      <c r="G6" t="s">
        <v>45</v>
      </c>
      <c r="H6" s="10">
        <v>37606</v>
      </c>
      <c r="I6" s="10" t="s">
        <v>24</v>
      </c>
      <c r="K6" t="s">
        <v>25</v>
      </c>
      <c r="L6" t="s">
        <v>46</v>
      </c>
      <c r="N6" s="11" t="str">
        <f>Base_CRM[[#This Row],[Cidade]]&amp;"/"&amp;Base_CRM[[#This Row],[Estado]]</f>
        <v>RIO DE JANEIRO/</v>
      </c>
      <c r="O6" s="12">
        <f>IFERROR(IF(Base_CRM[[#This Row],[PL Tailor]]&gt;Base_CRM[[#This Row],[PL Declarado]],1,Base_CRM[[#This Row],[PL Tailor]]/Base_CRM[[#This Row],[PL Declarado]]),0)</f>
        <v>1</v>
      </c>
      <c r="P6" s="11" t="str">
        <f>IF(Base_CRM[[#This Row],[Estado Civil]]="","PESSOA JURÍDICA","PESSOA FÍSICA")</f>
        <v>PESSOA FÍSICA</v>
      </c>
      <c r="Q6" t="str">
        <f>_xlfn.XLOOKUP(Base_CRM[[#This Row],[Cód do Cliente]],'[1]F &amp; O'!$A:$A,'[1]F &amp; O'!$F:$F,_xlfn.XLOOKUP(Base_CRM[[#This Row],[Assessor]],[1]DePara!$A:$A,[1]DePara!$D:$D,"Outros",0,1),0,1)</f>
        <v>Adonias Noronha</v>
      </c>
      <c r="R6" s="11" t="str">
        <f>_xlfn.XLOOKUP(Base_CRM[[#This Row],[Cód do Cliente]],'[1]F &amp; O'!$A:$A,'[1]F &amp; O'!D:D,"Sem Finder",0,1)</f>
        <v>Sem Finder</v>
      </c>
      <c r="S6" s="11" t="str">
        <f>_xlfn.XLOOKUP(Base_CRM[[#This Row],[Cód do Cliente]],'[1]F &amp; O'!$A:$A,'[1]F &amp; O'!E:E,"Sem Canal",0,1)</f>
        <v>Sem Canal</v>
      </c>
      <c r="T6" s="11" t="str">
        <f t="shared" si="0"/>
        <v>Cliente XP</v>
      </c>
    </row>
    <row r="7" spans="1:20" x14ac:dyDescent="0.3">
      <c r="A7">
        <v>11171464</v>
      </c>
      <c r="B7" s="8" t="s">
        <v>47</v>
      </c>
      <c r="C7" s="9" t="s">
        <v>48</v>
      </c>
      <c r="D7" s="8">
        <v>0</v>
      </c>
      <c r="E7">
        <v>1000000</v>
      </c>
      <c r="F7" t="s">
        <v>22</v>
      </c>
      <c r="G7" t="s">
        <v>49</v>
      </c>
      <c r="H7" s="10">
        <v>29913</v>
      </c>
      <c r="I7" s="10" t="s">
        <v>24</v>
      </c>
      <c r="K7" t="s">
        <v>25</v>
      </c>
      <c r="L7" t="s">
        <v>50</v>
      </c>
      <c r="N7" s="11" t="str">
        <f>Base_CRM[[#This Row],[Cidade]]&amp;"/"&amp;Base_CRM[[#This Row],[Estado]]</f>
        <v>RIO DE JANEIRO/</v>
      </c>
      <c r="O7" s="12">
        <f>IFERROR(IF(Base_CRM[[#This Row],[PL Tailor]]&gt;Base_CRM[[#This Row],[PL Declarado]],1,Base_CRM[[#This Row],[PL Tailor]]/Base_CRM[[#This Row],[PL Declarado]]),0)</f>
        <v>0</v>
      </c>
      <c r="P7" s="11" t="str">
        <f>IF(Base_CRM[[#This Row],[Estado Civil]]="","PESSOA JURÍDICA","PESSOA FÍSICA")</f>
        <v>PESSOA FÍSICA</v>
      </c>
      <c r="Q7" t="str">
        <f>_xlfn.XLOOKUP(Base_CRM[[#This Row],[Cód do Cliente]],'[1]F &amp; O'!$A:$A,'[1]F &amp; O'!$F:$F,_xlfn.XLOOKUP(Base_CRM[[#This Row],[Assessor]],[1]DePara!$A:$A,[1]DePara!$D:$D,"Outros",0,1),0,1)</f>
        <v>Raphael Farias</v>
      </c>
      <c r="R7" s="11" t="str">
        <f>_xlfn.XLOOKUP(Base_CRM[[#This Row],[Cód do Cliente]],'[1]F &amp; O'!$A:$A,'[1]F &amp; O'!D:D,"Sem Finder",0,1)</f>
        <v>Sem Finder</v>
      </c>
      <c r="S7" s="11" t="str">
        <f>_xlfn.XLOOKUP(Base_CRM[[#This Row],[Cód do Cliente]],'[1]F &amp; O'!$A:$A,'[1]F &amp; O'!E:E,"Sem Canal",0,1)</f>
        <v>Sem Canal</v>
      </c>
      <c r="T7" s="11" t="str">
        <f t="shared" si="0"/>
        <v>Cliente XP</v>
      </c>
    </row>
    <row r="8" spans="1:20" x14ac:dyDescent="0.3">
      <c r="A8">
        <v>11175858</v>
      </c>
      <c r="B8" s="8" t="s">
        <v>51</v>
      </c>
      <c r="C8" s="9" t="s">
        <v>34</v>
      </c>
      <c r="D8" s="8">
        <v>55460.29</v>
      </c>
      <c r="E8">
        <v>3000</v>
      </c>
      <c r="F8" t="s">
        <v>29</v>
      </c>
      <c r="G8" t="s">
        <v>52</v>
      </c>
      <c r="H8" s="10">
        <v>34575</v>
      </c>
      <c r="I8" s="10" t="s">
        <v>31</v>
      </c>
      <c r="K8" t="s">
        <v>25</v>
      </c>
      <c r="L8" t="s">
        <v>53</v>
      </c>
      <c r="N8" s="11" t="str">
        <f>Base_CRM[[#This Row],[Cidade]]&amp;"/"&amp;Base_CRM[[#This Row],[Estado]]</f>
        <v>SAO PAULO/</v>
      </c>
      <c r="O8" s="12">
        <f>IFERROR(IF(Base_CRM[[#This Row],[PL Tailor]]&gt;Base_CRM[[#This Row],[PL Declarado]],1,Base_CRM[[#This Row],[PL Tailor]]/Base_CRM[[#This Row],[PL Declarado]]),0)</f>
        <v>1</v>
      </c>
      <c r="P8" s="11" t="str">
        <f>IF(Base_CRM[[#This Row],[Estado Civil]]="","PESSOA JURÍDICA","PESSOA FÍSICA")</f>
        <v>PESSOA FÍSICA</v>
      </c>
      <c r="Q8" t="str">
        <f>_xlfn.XLOOKUP(Base_CRM[[#This Row],[Cód do Cliente]],'[1]F &amp; O'!$A:$A,'[1]F &amp; O'!$F:$F,_xlfn.XLOOKUP(Base_CRM[[#This Row],[Assessor]],[1]DePara!$A:$A,[1]DePara!$D:$D,"Outros",0,1),0,1)</f>
        <v>Adonias Noronha</v>
      </c>
      <c r="R8" s="11" t="str">
        <f>_xlfn.XLOOKUP(Base_CRM[[#This Row],[Cód do Cliente]],'[1]F &amp; O'!$A:$A,'[1]F &amp; O'!D:D,"Sem Finder",0,1)</f>
        <v>Sem Finder</v>
      </c>
      <c r="S8" s="11" t="str">
        <f>_xlfn.XLOOKUP(Base_CRM[[#This Row],[Cód do Cliente]],'[1]F &amp; O'!$A:$A,'[1]F &amp; O'!E:E,"Sem Canal",0,1)</f>
        <v>Sem Canal</v>
      </c>
      <c r="T8" s="11" t="str">
        <f t="shared" si="0"/>
        <v>Cliente XP</v>
      </c>
    </row>
    <row r="9" spans="1:20" x14ac:dyDescent="0.3">
      <c r="A9">
        <v>11175861</v>
      </c>
      <c r="B9" s="8" t="s">
        <v>54</v>
      </c>
      <c r="C9" s="9" t="s">
        <v>34</v>
      </c>
      <c r="D9" s="8">
        <v>203401.67</v>
      </c>
      <c r="E9">
        <v>150000</v>
      </c>
      <c r="F9" t="s">
        <v>29</v>
      </c>
      <c r="G9" t="s">
        <v>49</v>
      </c>
      <c r="H9" s="10">
        <v>34918</v>
      </c>
      <c r="I9" s="10" t="s">
        <v>24</v>
      </c>
      <c r="K9" t="s">
        <v>25</v>
      </c>
      <c r="L9" t="s">
        <v>55</v>
      </c>
      <c r="N9" s="11" t="str">
        <f>Base_CRM[[#This Row],[Cidade]]&amp;"/"&amp;Base_CRM[[#This Row],[Estado]]</f>
        <v>RIO DE JANEIRO/</v>
      </c>
      <c r="O9" s="12">
        <f>IFERROR(IF(Base_CRM[[#This Row],[PL Tailor]]&gt;Base_CRM[[#This Row],[PL Declarado]],1,Base_CRM[[#This Row],[PL Tailor]]/Base_CRM[[#This Row],[PL Declarado]]),0)</f>
        <v>1</v>
      </c>
      <c r="P9" s="11" t="str">
        <f>IF(Base_CRM[[#This Row],[Estado Civil]]="","PESSOA JURÍDICA","PESSOA FÍSICA")</f>
        <v>PESSOA FÍSICA</v>
      </c>
      <c r="Q9" t="str">
        <f>_xlfn.XLOOKUP(Base_CRM[[#This Row],[Cód do Cliente]],'[1]F &amp; O'!$A:$A,'[1]F &amp; O'!$F:$F,_xlfn.XLOOKUP(Base_CRM[[#This Row],[Assessor]],[1]DePara!$A:$A,[1]DePara!$D:$D,"Outros",0,1),0,1)</f>
        <v>Adonias Noronha</v>
      </c>
      <c r="R9" s="11" t="str">
        <f>_xlfn.XLOOKUP(Base_CRM[[#This Row],[Cód do Cliente]],'[1]F &amp; O'!$A:$A,'[1]F &amp; O'!D:D,"Sem Finder",0,1)</f>
        <v>Sem Finder</v>
      </c>
      <c r="S9" s="11" t="str">
        <f>_xlfn.XLOOKUP(Base_CRM[[#This Row],[Cód do Cliente]],'[1]F &amp; O'!$A:$A,'[1]F &amp; O'!E:E,"Sem Canal",0,1)</f>
        <v>Sem Canal</v>
      </c>
      <c r="T9" s="11" t="str">
        <f t="shared" si="0"/>
        <v>Cliente XP</v>
      </c>
    </row>
    <row r="10" spans="1:20" x14ac:dyDescent="0.3">
      <c r="A10">
        <v>11176463</v>
      </c>
      <c r="B10" s="8" t="s">
        <v>56</v>
      </c>
      <c r="C10" s="9" t="s">
        <v>34</v>
      </c>
      <c r="D10" s="8">
        <v>481282.51</v>
      </c>
      <c r="E10">
        <v>1000000</v>
      </c>
      <c r="F10" t="s">
        <v>22</v>
      </c>
      <c r="G10" t="s">
        <v>57</v>
      </c>
      <c r="H10" s="10">
        <v>22179</v>
      </c>
      <c r="I10" s="10" t="s">
        <v>58</v>
      </c>
      <c r="K10" t="s">
        <v>42</v>
      </c>
      <c r="L10" t="s">
        <v>59</v>
      </c>
      <c r="M10" t="s">
        <v>60</v>
      </c>
      <c r="N10" s="11" t="str">
        <f>Base_CRM[[#This Row],[Cidade]]&amp;"/"&amp;Base_CRM[[#This Row],[Estado]]</f>
        <v>PIRACICABA/</v>
      </c>
      <c r="O10" s="12">
        <f>IFERROR(IF(Base_CRM[[#This Row],[PL Tailor]]&gt;Base_CRM[[#This Row],[PL Declarado]],1,Base_CRM[[#This Row],[PL Tailor]]/Base_CRM[[#This Row],[PL Declarado]]),0)</f>
        <v>0.48128251</v>
      </c>
      <c r="P10" s="11" t="str">
        <f>IF(Base_CRM[[#This Row],[Estado Civil]]="","PESSOA JURÍDICA","PESSOA FÍSICA")</f>
        <v>PESSOA FÍSICA</v>
      </c>
      <c r="Q10" t="str">
        <f>_xlfn.XLOOKUP(Base_CRM[[#This Row],[Cód do Cliente]],'[1]F &amp; O'!$A:$A,'[1]F &amp; O'!$F:$F,_xlfn.XLOOKUP(Base_CRM[[#This Row],[Assessor]],[1]DePara!$A:$A,[1]DePara!$D:$D,"Outros",0,1),0,1)</f>
        <v>Adonias Noronha</v>
      </c>
      <c r="R10" s="11" t="str">
        <f>_xlfn.XLOOKUP(Base_CRM[[#This Row],[Cód do Cliente]],'[1]F &amp; O'!$A:$A,'[1]F &amp; O'!D:D,"Sem Finder",0,1)</f>
        <v>Sem Finder</v>
      </c>
      <c r="S10" s="11" t="str">
        <f>_xlfn.XLOOKUP(Base_CRM[[#This Row],[Cód do Cliente]],'[1]F &amp; O'!$A:$A,'[1]F &amp; O'!E:E,"Sem Canal",0,1)</f>
        <v>Sem Canal</v>
      </c>
      <c r="T10" s="11" t="str">
        <f t="shared" si="0"/>
        <v>Cliente XP</v>
      </c>
    </row>
    <row r="11" spans="1:20" x14ac:dyDescent="0.3">
      <c r="A11">
        <v>11192150</v>
      </c>
      <c r="B11" s="8" t="s">
        <v>61</v>
      </c>
      <c r="C11" s="9" t="s">
        <v>34</v>
      </c>
      <c r="D11" s="8">
        <v>3452623.51</v>
      </c>
      <c r="E11">
        <v>3200000</v>
      </c>
      <c r="F11" t="s">
        <v>29</v>
      </c>
      <c r="G11" t="s">
        <v>23</v>
      </c>
      <c r="H11" s="10">
        <v>23147</v>
      </c>
      <c r="I11" s="10" t="s">
        <v>62</v>
      </c>
      <c r="K11" t="s">
        <v>42</v>
      </c>
      <c r="L11" t="s">
        <v>63</v>
      </c>
      <c r="M11" t="s">
        <v>64</v>
      </c>
      <c r="N11" s="11" t="str">
        <f>Base_CRM[[#This Row],[Cidade]]&amp;"/"&amp;Base_CRM[[#This Row],[Estado]]</f>
        <v>Rio de Janeiro/</v>
      </c>
      <c r="O11" s="12">
        <f>IFERROR(IF(Base_CRM[[#This Row],[PL Tailor]]&gt;Base_CRM[[#This Row],[PL Declarado]],1,Base_CRM[[#This Row],[PL Tailor]]/Base_CRM[[#This Row],[PL Declarado]]),0)</f>
        <v>1</v>
      </c>
      <c r="P11" s="11" t="str">
        <f>IF(Base_CRM[[#This Row],[Estado Civil]]="","PESSOA JURÍDICA","PESSOA FÍSICA")</f>
        <v>PESSOA FÍSICA</v>
      </c>
      <c r="Q11" t="str">
        <f>_xlfn.XLOOKUP(Base_CRM[[#This Row],[Cód do Cliente]],'[1]F &amp; O'!$A:$A,'[1]F &amp; O'!$F:$F,_xlfn.XLOOKUP(Base_CRM[[#This Row],[Assessor]],[1]DePara!$A:$A,[1]DePara!$D:$D,"Outros",0,1),0,1)</f>
        <v>Adonias Noronha</v>
      </c>
      <c r="R11" s="11" t="str">
        <f>_xlfn.XLOOKUP(Base_CRM[[#This Row],[Cód do Cliente]],'[1]F &amp; O'!$A:$A,'[1]F &amp; O'!D:D,"Sem Finder",0,1)</f>
        <v>Sem Finder</v>
      </c>
      <c r="S11" s="11" t="str">
        <f>_xlfn.XLOOKUP(Base_CRM[[#This Row],[Cód do Cliente]],'[1]F &amp; O'!$A:$A,'[1]F &amp; O'!E:E,"Sem Canal",0,1)</f>
        <v>Sem Canal</v>
      </c>
      <c r="T11" s="11" t="str">
        <f t="shared" si="0"/>
        <v>Cliente XP</v>
      </c>
    </row>
    <row r="12" spans="1:20" x14ac:dyDescent="0.3">
      <c r="A12">
        <v>11204371</v>
      </c>
      <c r="B12" s="8" t="s">
        <v>65</v>
      </c>
      <c r="C12" s="9" t="s">
        <v>66</v>
      </c>
      <c r="D12" s="8">
        <v>1209705.18</v>
      </c>
      <c r="E12">
        <v>5000000</v>
      </c>
      <c r="F12" t="s">
        <v>22</v>
      </c>
      <c r="G12" t="s">
        <v>67</v>
      </c>
      <c r="H12" s="10">
        <v>29632</v>
      </c>
      <c r="I12" s="10" t="s">
        <v>31</v>
      </c>
      <c r="K12" t="s">
        <v>68</v>
      </c>
      <c r="L12" t="s">
        <v>69</v>
      </c>
      <c r="N12" s="11" t="str">
        <f>Base_CRM[[#This Row],[Cidade]]&amp;"/"&amp;Base_CRM[[#This Row],[Estado]]</f>
        <v>SAO PAULO/</v>
      </c>
      <c r="O12" s="12">
        <f>IFERROR(IF(Base_CRM[[#This Row],[PL Tailor]]&gt;Base_CRM[[#This Row],[PL Declarado]],1,Base_CRM[[#This Row],[PL Tailor]]/Base_CRM[[#This Row],[PL Declarado]]),0)</f>
        <v>0.241941036</v>
      </c>
      <c r="P12" s="11" t="str">
        <f>IF(Base_CRM[[#This Row],[Estado Civil]]="","PESSOA JURÍDICA","PESSOA FÍSICA")</f>
        <v>PESSOA FÍSICA</v>
      </c>
      <c r="Q12" t="str">
        <f>_xlfn.XLOOKUP(Base_CRM[[#This Row],[Cód do Cliente]],'[1]F &amp; O'!$A:$A,'[1]F &amp; O'!$F:$F,_xlfn.XLOOKUP(Base_CRM[[#This Row],[Assessor]],[1]DePara!$A:$A,[1]DePara!$D:$D,"Outros",0,1),0,1)</f>
        <v>Caroline Vlavianos</v>
      </c>
      <c r="R12" s="11" t="str">
        <f>_xlfn.XLOOKUP(Base_CRM[[#This Row],[Cód do Cliente]],'[1]F &amp; O'!$A:$A,'[1]F &amp; O'!D:D,"Sem Finder",0,1)</f>
        <v>Sem Finder</v>
      </c>
      <c r="S12" s="11" t="str">
        <f>_xlfn.XLOOKUP(Base_CRM[[#This Row],[Cód do Cliente]],'[1]F &amp; O'!$A:$A,'[1]F &amp; O'!E:E,"Sem Canal",0,1)</f>
        <v>Sem Canal</v>
      </c>
      <c r="T12" s="11" t="str">
        <f t="shared" si="0"/>
        <v>Cliente XP</v>
      </c>
    </row>
    <row r="13" spans="1:20" x14ac:dyDescent="0.3">
      <c r="A13">
        <v>11243885</v>
      </c>
      <c r="B13" s="8" t="s">
        <v>70</v>
      </c>
      <c r="C13" s="9" t="s">
        <v>21</v>
      </c>
      <c r="D13" s="8">
        <v>0</v>
      </c>
      <c r="E13">
        <v>5000000</v>
      </c>
      <c r="F13" t="s">
        <v>22</v>
      </c>
      <c r="G13" t="s">
        <v>71</v>
      </c>
      <c r="H13" s="10">
        <v>26163</v>
      </c>
      <c r="I13" s="10" t="s">
        <v>24</v>
      </c>
      <c r="K13" t="s">
        <v>42</v>
      </c>
      <c r="L13" t="s">
        <v>72</v>
      </c>
      <c r="N13" s="11" t="str">
        <f>Base_CRM[[#This Row],[Cidade]]&amp;"/"&amp;Base_CRM[[#This Row],[Estado]]</f>
        <v>RIO DE JANEIRO/</v>
      </c>
      <c r="O13" s="12">
        <f>IFERROR(IF(Base_CRM[[#This Row],[PL Tailor]]&gt;Base_CRM[[#This Row],[PL Declarado]],1,Base_CRM[[#This Row],[PL Tailor]]/Base_CRM[[#This Row],[PL Declarado]]),0)</f>
        <v>0</v>
      </c>
      <c r="P13" s="11" t="str">
        <f>IF(Base_CRM[[#This Row],[Estado Civil]]="","PESSOA JURÍDICA","PESSOA FÍSICA")</f>
        <v>PESSOA FÍSICA</v>
      </c>
      <c r="Q13" t="str">
        <f>_xlfn.XLOOKUP(Base_CRM[[#This Row],[Cód do Cliente]],'[1]F &amp; O'!$A:$A,'[1]F &amp; O'!$F:$F,_xlfn.XLOOKUP(Base_CRM[[#This Row],[Assessor]],[1]DePara!$A:$A,[1]DePara!$D:$D,"Outros",0,1),0,1)</f>
        <v>Leonardo Burle</v>
      </c>
      <c r="R13" s="11" t="str">
        <f>_xlfn.XLOOKUP(Base_CRM[[#This Row],[Cód do Cliente]],'[1]F &amp; O'!$A:$A,'[1]F &amp; O'!D:D,"Sem Finder",0,1)</f>
        <v>Sem Finder</v>
      </c>
      <c r="S13" s="11" t="str">
        <f>_xlfn.XLOOKUP(Base_CRM[[#This Row],[Cód do Cliente]],'[1]F &amp; O'!$A:$A,'[1]F &amp; O'!E:E,"Sem Canal",0,1)</f>
        <v>Sem Canal</v>
      </c>
      <c r="T13" s="11" t="str">
        <f t="shared" si="0"/>
        <v>Cliente XP</v>
      </c>
    </row>
    <row r="14" spans="1:20" x14ac:dyDescent="0.3">
      <c r="A14">
        <v>11245765</v>
      </c>
      <c r="B14" s="8" t="s">
        <v>73</v>
      </c>
      <c r="C14" s="9" t="s">
        <v>74</v>
      </c>
      <c r="D14" s="8">
        <v>266377.89</v>
      </c>
      <c r="E14">
        <v>289000</v>
      </c>
      <c r="F14" t="s">
        <v>29</v>
      </c>
      <c r="G14" t="s">
        <v>75</v>
      </c>
      <c r="H14" s="10">
        <v>15091</v>
      </c>
      <c r="I14" s="10" t="s">
        <v>24</v>
      </c>
      <c r="K14" t="s">
        <v>25</v>
      </c>
      <c r="L14" t="s">
        <v>76</v>
      </c>
      <c r="M14" t="s">
        <v>77</v>
      </c>
      <c r="N14" s="11" t="str">
        <f>Base_CRM[[#This Row],[Cidade]]&amp;"/"&amp;Base_CRM[[#This Row],[Estado]]</f>
        <v>RIO DE JANEIRO/</v>
      </c>
      <c r="O14" s="12">
        <f>IFERROR(IF(Base_CRM[[#This Row],[PL Tailor]]&gt;Base_CRM[[#This Row],[PL Declarado]],1,Base_CRM[[#This Row],[PL Tailor]]/Base_CRM[[#This Row],[PL Declarado]]),0)</f>
        <v>0.92172280276816609</v>
      </c>
      <c r="P14" s="11" t="str">
        <f>IF(Base_CRM[[#This Row],[Estado Civil]]="","PESSOA JURÍDICA","PESSOA FÍSICA")</f>
        <v>PESSOA FÍSICA</v>
      </c>
      <c r="Q14" t="str">
        <f>_xlfn.XLOOKUP(Base_CRM[[#This Row],[Cód do Cliente]],'[1]F &amp; O'!$A:$A,'[1]F &amp; O'!$F:$F,_xlfn.XLOOKUP(Base_CRM[[#This Row],[Assessor]],[1]DePara!$A:$A,[1]DePara!$D:$D,"Outros",0,1),0,1)</f>
        <v>Thayane Freitas</v>
      </c>
      <c r="R14" s="11" t="str">
        <f>_xlfn.XLOOKUP(Base_CRM[[#This Row],[Cód do Cliente]],'[1]F &amp; O'!$A:$A,'[1]F &amp; O'!D:D,"Sem Finder",0,1)</f>
        <v>Sem Finder</v>
      </c>
      <c r="S14" s="11" t="str">
        <f>_xlfn.XLOOKUP(Base_CRM[[#This Row],[Cód do Cliente]],'[1]F &amp; O'!$A:$A,'[1]F &amp; O'!E:E,"Sem Canal",0,1)</f>
        <v>Sem Canal</v>
      </c>
      <c r="T14" s="11" t="str">
        <f t="shared" si="0"/>
        <v>Cliente XP</v>
      </c>
    </row>
    <row r="15" spans="1:20" x14ac:dyDescent="0.3">
      <c r="A15">
        <v>11279989</v>
      </c>
      <c r="B15" s="8" t="s">
        <v>78</v>
      </c>
      <c r="C15" s="9" t="s">
        <v>66</v>
      </c>
      <c r="D15" s="8">
        <v>92891.56</v>
      </c>
      <c r="E15">
        <v>50000</v>
      </c>
      <c r="F15" t="s">
        <v>22</v>
      </c>
      <c r="G15" t="s">
        <v>45</v>
      </c>
      <c r="H15" s="10">
        <v>41209</v>
      </c>
      <c r="I15" s="10" t="s">
        <v>31</v>
      </c>
      <c r="K15" t="s">
        <v>25</v>
      </c>
      <c r="L15" t="s">
        <v>79</v>
      </c>
      <c r="M15" t="s">
        <v>77</v>
      </c>
      <c r="N15" s="11" t="str">
        <f>Base_CRM[[#This Row],[Cidade]]&amp;"/"&amp;Base_CRM[[#This Row],[Estado]]</f>
        <v>SAO PAULO/</v>
      </c>
      <c r="O15" s="12">
        <f>IFERROR(IF(Base_CRM[[#This Row],[PL Tailor]]&gt;Base_CRM[[#This Row],[PL Declarado]],1,Base_CRM[[#This Row],[PL Tailor]]/Base_CRM[[#This Row],[PL Declarado]]),0)</f>
        <v>1</v>
      </c>
      <c r="P15" s="11" t="str">
        <f>IF(Base_CRM[[#This Row],[Estado Civil]]="","PESSOA JURÍDICA","PESSOA FÍSICA")</f>
        <v>PESSOA FÍSICA</v>
      </c>
      <c r="Q15" t="str">
        <f>_xlfn.XLOOKUP(Base_CRM[[#This Row],[Cód do Cliente]],'[1]F &amp; O'!$A:$A,'[1]F &amp; O'!$F:$F,_xlfn.XLOOKUP(Base_CRM[[#This Row],[Assessor]],[1]DePara!$A:$A,[1]DePara!$D:$D,"Outros",0,1),0,1)</f>
        <v>Caroline Vlavianos</v>
      </c>
      <c r="R15" s="11" t="str">
        <f>_xlfn.XLOOKUP(Base_CRM[[#This Row],[Cód do Cliente]],'[1]F &amp; O'!$A:$A,'[1]F &amp; O'!D:D,"Sem Finder",0,1)</f>
        <v>Sem Finder</v>
      </c>
      <c r="S15" s="11" t="str">
        <f>_xlfn.XLOOKUP(Base_CRM[[#This Row],[Cód do Cliente]],'[1]F &amp; O'!$A:$A,'[1]F &amp; O'!E:E,"Sem Canal",0,1)</f>
        <v>Sem Canal</v>
      </c>
      <c r="T15" s="11" t="str">
        <f t="shared" si="0"/>
        <v>Cliente XP</v>
      </c>
    </row>
    <row r="16" spans="1:20" x14ac:dyDescent="0.3">
      <c r="A16">
        <v>11287409</v>
      </c>
      <c r="B16" s="8" t="s">
        <v>80</v>
      </c>
      <c r="C16" s="9" t="s">
        <v>74</v>
      </c>
      <c r="D16" s="8">
        <v>0</v>
      </c>
      <c r="E16">
        <v>200000</v>
      </c>
      <c r="F16" t="s">
        <v>22</v>
      </c>
      <c r="G16" t="s">
        <v>71</v>
      </c>
      <c r="H16" s="10">
        <v>31211</v>
      </c>
      <c r="I16" s="10" t="s">
        <v>24</v>
      </c>
      <c r="K16" t="s">
        <v>25</v>
      </c>
      <c r="L16" t="s">
        <v>81</v>
      </c>
      <c r="N16" s="11" t="str">
        <f>Base_CRM[[#This Row],[Cidade]]&amp;"/"&amp;Base_CRM[[#This Row],[Estado]]</f>
        <v>RIO DE JANEIRO/</v>
      </c>
      <c r="O16" s="12">
        <f>IFERROR(IF(Base_CRM[[#This Row],[PL Tailor]]&gt;Base_CRM[[#This Row],[PL Declarado]],1,Base_CRM[[#This Row],[PL Tailor]]/Base_CRM[[#This Row],[PL Declarado]]),0)</f>
        <v>0</v>
      </c>
      <c r="P16" s="11" t="str">
        <f>IF(Base_CRM[[#This Row],[Estado Civil]]="","PESSOA JURÍDICA","PESSOA FÍSICA")</f>
        <v>PESSOA FÍSICA</v>
      </c>
      <c r="Q16" t="str">
        <f>_xlfn.XLOOKUP(Base_CRM[[#This Row],[Cód do Cliente]],'[1]F &amp; O'!$A:$A,'[1]F &amp; O'!$F:$F,_xlfn.XLOOKUP(Base_CRM[[#This Row],[Assessor]],[1]DePara!$A:$A,[1]DePara!$D:$D,"Outros",0,1),0,1)</f>
        <v>Thayane Freitas</v>
      </c>
      <c r="R16" s="11" t="str">
        <f>_xlfn.XLOOKUP(Base_CRM[[#This Row],[Cód do Cliente]],'[1]F &amp; O'!$A:$A,'[1]F &amp; O'!D:D,"Sem Finder",0,1)</f>
        <v>Sem Finder</v>
      </c>
      <c r="S16" s="11" t="str">
        <f>_xlfn.XLOOKUP(Base_CRM[[#This Row],[Cód do Cliente]],'[1]F &amp; O'!$A:$A,'[1]F &amp; O'!E:E,"Sem Canal",0,1)</f>
        <v>Sem Canal</v>
      </c>
      <c r="T16" s="11" t="str">
        <f t="shared" si="0"/>
        <v>Cliente XP</v>
      </c>
    </row>
    <row r="17" spans="1:20" x14ac:dyDescent="0.3">
      <c r="A17">
        <v>11300376</v>
      </c>
      <c r="B17" s="8" t="s">
        <v>82</v>
      </c>
      <c r="C17" s="9" t="s">
        <v>74</v>
      </c>
      <c r="D17" s="8">
        <v>0</v>
      </c>
      <c r="E17">
        <v>10000</v>
      </c>
      <c r="F17" t="s">
        <v>29</v>
      </c>
      <c r="G17" t="s">
        <v>83</v>
      </c>
      <c r="H17" s="10">
        <v>31091</v>
      </c>
      <c r="I17" s="10" t="s">
        <v>84</v>
      </c>
      <c r="K17" t="s">
        <v>42</v>
      </c>
      <c r="L17" t="s">
        <v>85</v>
      </c>
      <c r="N17" s="11" t="str">
        <f>Base_CRM[[#This Row],[Cidade]]&amp;"/"&amp;Base_CRM[[#This Row],[Estado]]</f>
        <v>NITEROI/</v>
      </c>
      <c r="O17" s="12">
        <f>IFERROR(IF(Base_CRM[[#This Row],[PL Tailor]]&gt;Base_CRM[[#This Row],[PL Declarado]],1,Base_CRM[[#This Row],[PL Tailor]]/Base_CRM[[#This Row],[PL Declarado]]),0)</f>
        <v>0</v>
      </c>
      <c r="P17" s="11" t="str">
        <f>IF(Base_CRM[[#This Row],[Estado Civil]]="","PESSOA JURÍDICA","PESSOA FÍSICA")</f>
        <v>PESSOA FÍSICA</v>
      </c>
      <c r="Q17" t="str">
        <f>_xlfn.XLOOKUP(Base_CRM[[#This Row],[Cód do Cliente]],'[1]F &amp; O'!$A:$A,'[1]F &amp; O'!$F:$F,_xlfn.XLOOKUP(Base_CRM[[#This Row],[Assessor]],[1]DePara!$A:$A,[1]DePara!$D:$D,"Outros",0,1),0,1)</f>
        <v>Thayane Freitas</v>
      </c>
      <c r="R17" s="11" t="str">
        <f>_xlfn.XLOOKUP(Base_CRM[[#This Row],[Cód do Cliente]],'[1]F &amp; O'!$A:$A,'[1]F &amp; O'!D:D,"Sem Finder",0,1)</f>
        <v>Sem Finder</v>
      </c>
      <c r="S17" s="11" t="str">
        <f>_xlfn.XLOOKUP(Base_CRM[[#This Row],[Cód do Cliente]],'[1]F &amp; O'!$A:$A,'[1]F &amp; O'!E:E,"Sem Canal",0,1)</f>
        <v>Sem Canal</v>
      </c>
      <c r="T17" s="11" t="str">
        <f t="shared" si="0"/>
        <v>Cliente XP</v>
      </c>
    </row>
    <row r="18" spans="1:20" x14ac:dyDescent="0.3">
      <c r="A18">
        <v>11306516</v>
      </c>
      <c r="B18" s="8" t="s">
        <v>86</v>
      </c>
      <c r="C18" s="9" t="s">
        <v>34</v>
      </c>
      <c r="D18" s="8">
        <v>625066.89</v>
      </c>
      <c r="E18">
        <v>1</v>
      </c>
      <c r="F18" t="s">
        <v>29</v>
      </c>
      <c r="G18" t="s">
        <v>87</v>
      </c>
      <c r="H18" s="10">
        <v>29140</v>
      </c>
      <c r="I18" s="10" t="s">
        <v>24</v>
      </c>
      <c r="K18" t="s">
        <v>88</v>
      </c>
      <c r="L18" t="s">
        <v>89</v>
      </c>
      <c r="M18" t="s">
        <v>90</v>
      </c>
      <c r="N18" s="11" t="str">
        <f>Base_CRM[[#This Row],[Cidade]]&amp;"/"&amp;Base_CRM[[#This Row],[Estado]]</f>
        <v>RIO DE JANEIRO/</v>
      </c>
      <c r="O18" s="12">
        <f>IFERROR(IF(Base_CRM[[#This Row],[PL Tailor]]&gt;Base_CRM[[#This Row],[PL Declarado]],1,Base_CRM[[#This Row],[PL Tailor]]/Base_CRM[[#This Row],[PL Declarado]]),0)</f>
        <v>1</v>
      </c>
      <c r="P18" s="11" t="str">
        <f>IF(Base_CRM[[#This Row],[Estado Civil]]="","PESSOA JURÍDICA","PESSOA FÍSICA")</f>
        <v>PESSOA FÍSICA</v>
      </c>
      <c r="Q18" t="str">
        <f>_xlfn.XLOOKUP(Base_CRM[[#This Row],[Cód do Cliente]],'[1]F &amp; O'!$A:$A,'[1]F &amp; O'!$F:$F,_xlfn.XLOOKUP(Base_CRM[[#This Row],[Assessor]],[1]DePara!$A:$A,[1]DePara!$D:$D,"Outros",0,1),0,1)</f>
        <v>Adonias Noronha</v>
      </c>
      <c r="R18" s="11" t="str">
        <f>_xlfn.XLOOKUP(Base_CRM[[#This Row],[Cód do Cliente]],'[1]F &amp; O'!$A:$A,'[1]F &amp; O'!D:D,"Sem Finder",0,1)</f>
        <v>Sem Finder</v>
      </c>
      <c r="S18" s="11" t="str">
        <f>_xlfn.XLOOKUP(Base_CRM[[#This Row],[Cód do Cliente]],'[1]F &amp; O'!$A:$A,'[1]F &amp; O'!E:E,"Sem Canal",0,1)</f>
        <v>Sem Canal</v>
      </c>
      <c r="T18" s="11" t="str">
        <f t="shared" si="0"/>
        <v>Cliente XP</v>
      </c>
    </row>
    <row r="19" spans="1:20" x14ac:dyDescent="0.3">
      <c r="A19">
        <v>11320393</v>
      </c>
      <c r="B19" s="8" t="s">
        <v>91</v>
      </c>
      <c r="C19" s="9" t="s">
        <v>74</v>
      </c>
      <c r="D19" s="8">
        <v>216270.24</v>
      </c>
      <c r="E19">
        <v>100000</v>
      </c>
      <c r="F19" t="s">
        <v>92</v>
      </c>
      <c r="G19" t="s">
        <v>93</v>
      </c>
      <c r="H19" s="10">
        <v>33004</v>
      </c>
      <c r="I19" s="10" t="s">
        <v>24</v>
      </c>
      <c r="K19" t="s">
        <v>25</v>
      </c>
      <c r="L19" t="s">
        <v>94</v>
      </c>
      <c r="N19" s="11" t="str">
        <f>Base_CRM[[#This Row],[Cidade]]&amp;"/"&amp;Base_CRM[[#This Row],[Estado]]</f>
        <v>RIO DE JANEIRO/</v>
      </c>
      <c r="O19" s="12">
        <f>IFERROR(IF(Base_CRM[[#This Row],[PL Tailor]]&gt;Base_CRM[[#This Row],[PL Declarado]],1,Base_CRM[[#This Row],[PL Tailor]]/Base_CRM[[#This Row],[PL Declarado]]),0)</f>
        <v>1</v>
      </c>
      <c r="P19" s="11" t="str">
        <f>IF(Base_CRM[[#This Row],[Estado Civil]]="","PESSOA JURÍDICA","PESSOA FÍSICA")</f>
        <v>PESSOA FÍSICA</v>
      </c>
      <c r="Q19" t="str">
        <f>_xlfn.XLOOKUP(Base_CRM[[#This Row],[Cód do Cliente]],'[1]F &amp; O'!$A:$A,'[1]F &amp; O'!$F:$F,_xlfn.XLOOKUP(Base_CRM[[#This Row],[Assessor]],[1]DePara!$A:$A,[1]DePara!$D:$D,"Outros",0,1),0,1)</f>
        <v>Thayane Freitas</v>
      </c>
      <c r="R19" s="11" t="str">
        <f>_xlfn.XLOOKUP(Base_CRM[[#This Row],[Cód do Cliente]],'[1]F &amp; O'!$A:$A,'[1]F &amp; O'!D:D,"Sem Finder",0,1)</f>
        <v>Sem Finder</v>
      </c>
      <c r="S19" s="11" t="str">
        <f>_xlfn.XLOOKUP(Base_CRM[[#This Row],[Cód do Cliente]],'[1]F &amp; O'!$A:$A,'[1]F &amp; O'!E:E,"Sem Canal",0,1)</f>
        <v>Sem Canal</v>
      </c>
      <c r="T19" s="11" t="str">
        <f t="shared" si="0"/>
        <v>Cliente XP</v>
      </c>
    </row>
    <row r="20" spans="1:20" x14ac:dyDescent="0.3">
      <c r="A20">
        <v>11321583</v>
      </c>
      <c r="B20" s="8" t="s">
        <v>95</v>
      </c>
      <c r="C20" s="9" t="s">
        <v>34</v>
      </c>
      <c r="D20" s="8">
        <v>10919.21</v>
      </c>
      <c r="E20">
        <v>250000</v>
      </c>
      <c r="F20" t="s">
        <v>29</v>
      </c>
      <c r="G20" t="s">
        <v>96</v>
      </c>
      <c r="H20" s="10">
        <v>32128</v>
      </c>
      <c r="I20" s="10" t="s">
        <v>24</v>
      </c>
      <c r="K20" t="s">
        <v>25</v>
      </c>
      <c r="L20" t="s">
        <v>97</v>
      </c>
      <c r="N20" s="11" t="str">
        <f>Base_CRM[[#This Row],[Cidade]]&amp;"/"&amp;Base_CRM[[#This Row],[Estado]]</f>
        <v>RIO DE JANEIRO/</v>
      </c>
      <c r="O20" s="12">
        <f>IFERROR(IF(Base_CRM[[#This Row],[PL Tailor]]&gt;Base_CRM[[#This Row],[PL Declarado]],1,Base_CRM[[#This Row],[PL Tailor]]/Base_CRM[[#This Row],[PL Declarado]]),0)</f>
        <v>4.3676839999999995E-2</v>
      </c>
      <c r="P20" s="11" t="str">
        <f>IF(Base_CRM[[#This Row],[Estado Civil]]="","PESSOA JURÍDICA","PESSOA FÍSICA")</f>
        <v>PESSOA FÍSICA</v>
      </c>
      <c r="Q20" t="str">
        <f>_xlfn.XLOOKUP(Base_CRM[[#This Row],[Cód do Cliente]],'[1]F &amp; O'!$A:$A,'[1]F &amp; O'!$F:$F,_xlfn.XLOOKUP(Base_CRM[[#This Row],[Assessor]],[1]DePara!$A:$A,[1]DePara!$D:$D,"Outros",0,1),0,1)</f>
        <v>Adonias Noronha</v>
      </c>
      <c r="R20" s="11" t="str">
        <f>_xlfn.XLOOKUP(Base_CRM[[#This Row],[Cód do Cliente]],'[1]F &amp; O'!$A:$A,'[1]F &amp; O'!D:D,"Sem Finder",0,1)</f>
        <v>Sem Finder</v>
      </c>
      <c r="S20" s="11" t="str">
        <f>_xlfn.XLOOKUP(Base_CRM[[#This Row],[Cód do Cliente]],'[1]F &amp; O'!$A:$A,'[1]F &amp; O'!E:E,"Sem Canal",0,1)</f>
        <v>Sem Canal</v>
      </c>
      <c r="T20" s="11" t="str">
        <f t="shared" si="0"/>
        <v>Cliente XP</v>
      </c>
    </row>
    <row r="21" spans="1:20" x14ac:dyDescent="0.3">
      <c r="A21">
        <v>11325302</v>
      </c>
      <c r="B21" s="8" t="s">
        <v>98</v>
      </c>
      <c r="C21" s="9" t="s">
        <v>39</v>
      </c>
      <c r="D21" s="8">
        <v>156003.67000000001</v>
      </c>
      <c r="E21">
        <v>1000000</v>
      </c>
      <c r="F21" t="s">
        <v>29</v>
      </c>
      <c r="G21" t="s">
        <v>35</v>
      </c>
      <c r="H21" s="10">
        <v>34623</v>
      </c>
      <c r="I21" s="10" t="s">
        <v>31</v>
      </c>
      <c r="K21" t="s">
        <v>25</v>
      </c>
      <c r="L21" t="s">
        <v>99</v>
      </c>
      <c r="N21" s="11" t="str">
        <f>Base_CRM[[#This Row],[Cidade]]&amp;"/"&amp;Base_CRM[[#This Row],[Estado]]</f>
        <v>SAO PAULO/</v>
      </c>
      <c r="O21" s="12">
        <f>IFERROR(IF(Base_CRM[[#This Row],[PL Tailor]]&gt;Base_CRM[[#This Row],[PL Declarado]],1,Base_CRM[[#This Row],[PL Tailor]]/Base_CRM[[#This Row],[PL Declarado]]),0)</f>
        <v>0.15600367000000001</v>
      </c>
      <c r="P21" s="11" t="str">
        <f>IF(Base_CRM[[#This Row],[Estado Civil]]="","PESSOA JURÍDICA","PESSOA FÍSICA")</f>
        <v>PESSOA FÍSICA</v>
      </c>
      <c r="Q21" t="str">
        <f>_xlfn.XLOOKUP(Base_CRM[[#This Row],[Cód do Cliente]],'[1]F &amp; O'!$A:$A,'[1]F &amp; O'!$F:$F,_xlfn.XLOOKUP(Base_CRM[[#This Row],[Assessor]],[1]DePara!$A:$A,[1]DePara!$D:$D,"Outros",0,1),0,1)</f>
        <v>Gestora</v>
      </c>
      <c r="R21" s="11" t="str">
        <f>_xlfn.XLOOKUP(Base_CRM[[#This Row],[Cód do Cliente]],'[1]F &amp; O'!$A:$A,'[1]F &amp; O'!D:D,"Sem Finder",0,1)</f>
        <v>Sem Finder</v>
      </c>
      <c r="S21" s="11" t="str">
        <f>_xlfn.XLOOKUP(Base_CRM[[#This Row],[Cód do Cliente]],'[1]F &amp; O'!$A:$A,'[1]F &amp; O'!E:E,"Sem Canal",0,1)</f>
        <v>Gestora</v>
      </c>
      <c r="T21" s="11" t="str">
        <f t="shared" si="0"/>
        <v>Cliente XP</v>
      </c>
    </row>
    <row r="22" spans="1:20" x14ac:dyDescent="0.3">
      <c r="A22">
        <v>11362477</v>
      </c>
      <c r="B22" s="8" t="s">
        <v>100</v>
      </c>
      <c r="C22" s="9" t="s">
        <v>34</v>
      </c>
      <c r="D22" s="8">
        <v>401455.42</v>
      </c>
      <c r="E22">
        <v>5000000</v>
      </c>
      <c r="F22" t="s">
        <v>22</v>
      </c>
      <c r="G22" t="s">
        <v>71</v>
      </c>
      <c r="H22" s="10">
        <v>31927</v>
      </c>
      <c r="I22" s="10" t="s">
        <v>24</v>
      </c>
      <c r="K22" t="s">
        <v>25</v>
      </c>
      <c r="L22" t="s">
        <v>101</v>
      </c>
      <c r="N22" s="11" t="str">
        <f>Base_CRM[[#This Row],[Cidade]]&amp;"/"&amp;Base_CRM[[#This Row],[Estado]]</f>
        <v>RIO DE JANEIRO/</v>
      </c>
      <c r="O22" s="12">
        <f>IFERROR(IF(Base_CRM[[#This Row],[PL Tailor]]&gt;Base_CRM[[#This Row],[PL Declarado]],1,Base_CRM[[#This Row],[PL Tailor]]/Base_CRM[[#This Row],[PL Declarado]]),0)</f>
        <v>8.0291083999999999E-2</v>
      </c>
      <c r="P22" s="11" t="str">
        <f>IF(Base_CRM[[#This Row],[Estado Civil]]="","PESSOA JURÍDICA","PESSOA FÍSICA")</f>
        <v>PESSOA FÍSICA</v>
      </c>
      <c r="Q22" t="str">
        <f>_xlfn.XLOOKUP(Base_CRM[[#This Row],[Cód do Cliente]],'[1]F &amp; O'!$A:$A,'[1]F &amp; O'!$F:$F,_xlfn.XLOOKUP(Base_CRM[[#This Row],[Assessor]],[1]DePara!$A:$A,[1]DePara!$D:$D,"Outros",0,1),0,1)</f>
        <v>Adonias Noronha</v>
      </c>
      <c r="R22" s="11" t="str">
        <f>_xlfn.XLOOKUP(Base_CRM[[#This Row],[Cód do Cliente]],'[1]F &amp; O'!$A:$A,'[1]F &amp; O'!D:D,"Sem Finder",0,1)</f>
        <v>Sem Finder</v>
      </c>
      <c r="S22" s="11" t="str">
        <f>_xlfn.XLOOKUP(Base_CRM[[#This Row],[Cód do Cliente]],'[1]F &amp; O'!$A:$A,'[1]F &amp; O'!E:E,"Sem Canal",0,1)</f>
        <v>Sem Canal</v>
      </c>
      <c r="T22" s="11" t="str">
        <f t="shared" si="0"/>
        <v>Cliente XP</v>
      </c>
    </row>
    <row r="23" spans="1:20" x14ac:dyDescent="0.3">
      <c r="A23">
        <v>11437922</v>
      </c>
      <c r="B23" s="8" t="s">
        <v>102</v>
      </c>
      <c r="C23" s="9" t="s">
        <v>103</v>
      </c>
      <c r="D23" s="8">
        <v>290791.56</v>
      </c>
      <c r="E23">
        <v>40000</v>
      </c>
      <c r="F23" t="s">
        <v>22</v>
      </c>
      <c r="G23" t="s">
        <v>71</v>
      </c>
      <c r="H23" s="10">
        <v>32979</v>
      </c>
      <c r="I23" s="10" t="s">
        <v>24</v>
      </c>
      <c r="K23" t="s">
        <v>104</v>
      </c>
      <c r="L23" t="s">
        <v>105</v>
      </c>
      <c r="N23" s="11" t="str">
        <f>Base_CRM[[#This Row],[Cidade]]&amp;"/"&amp;Base_CRM[[#This Row],[Estado]]</f>
        <v>RIO DE JANEIRO/</v>
      </c>
      <c r="O23" s="12">
        <f>IFERROR(IF(Base_CRM[[#This Row],[PL Tailor]]&gt;Base_CRM[[#This Row],[PL Declarado]],1,Base_CRM[[#This Row],[PL Tailor]]/Base_CRM[[#This Row],[PL Declarado]]),0)</f>
        <v>1</v>
      </c>
      <c r="P23" s="11" t="str">
        <f>IF(Base_CRM[[#This Row],[Estado Civil]]="","PESSOA JURÍDICA","PESSOA FÍSICA")</f>
        <v>PESSOA FÍSICA</v>
      </c>
      <c r="Q23" t="str">
        <f>_xlfn.XLOOKUP(Base_CRM[[#This Row],[Cód do Cliente]],'[1]F &amp; O'!$A:$A,'[1]F &amp; O'!$F:$F,_xlfn.XLOOKUP(Base_CRM[[#This Row],[Assessor]],[1]DePara!$A:$A,[1]DePara!$D:$D,"Outros",0,1),0,1)</f>
        <v>Raphael Pereira</v>
      </c>
      <c r="R23" s="11" t="str">
        <f>_xlfn.XLOOKUP(Base_CRM[[#This Row],[Cód do Cliente]],'[1]F &amp; O'!$A:$A,'[1]F &amp; O'!D:D,"Sem Finder",0,1)</f>
        <v>Sem Finder</v>
      </c>
      <c r="S23" s="11" t="str">
        <f>_xlfn.XLOOKUP(Base_CRM[[#This Row],[Cód do Cliente]],'[1]F &amp; O'!$A:$A,'[1]F &amp; O'!E:E,"Sem Canal",0,1)</f>
        <v>Sem Canal</v>
      </c>
      <c r="T23" s="11" t="str">
        <f t="shared" si="0"/>
        <v>Cliente XP</v>
      </c>
    </row>
    <row r="24" spans="1:20" x14ac:dyDescent="0.3">
      <c r="A24">
        <v>11451523</v>
      </c>
      <c r="B24" s="8" t="s">
        <v>106</v>
      </c>
      <c r="C24" s="9" t="s">
        <v>39</v>
      </c>
      <c r="D24" s="8">
        <v>730302.07</v>
      </c>
      <c r="E24">
        <v>1000000</v>
      </c>
      <c r="F24" t="s">
        <v>29</v>
      </c>
      <c r="G24" t="s">
        <v>107</v>
      </c>
      <c r="H24" s="10">
        <v>17646</v>
      </c>
      <c r="I24" s="10" t="s">
        <v>31</v>
      </c>
      <c r="K24" t="s">
        <v>42</v>
      </c>
      <c r="L24" t="s">
        <v>108</v>
      </c>
      <c r="M24" t="s">
        <v>109</v>
      </c>
      <c r="N24" s="11" t="str">
        <f>Base_CRM[[#This Row],[Cidade]]&amp;"/"&amp;Base_CRM[[#This Row],[Estado]]</f>
        <v>SAO PAULO/</v>
      </c>
      <c r="O24" s="12">
        <f>IFERROR(IF(Base_CRM[[#This Row],[PL Tailor]]&gt;Base_CRM[[#This Row],[PL Declarado]],1,Base_CRM[[#This Row],[PL Tailor]]/Base_CRM[[#This Row],[PL Declarado]]),0)</f>
        <v>0.73030206999999991</v>
      </c>
      <c r="P24" s="11" t="str">
        <f>IF(Base_CRM[[#This Row],[Estado Civil]]="","PESSOA JURÍDICA","PESSOA FÍSICA")</f>
        <v>PESSOA FÍSICA</v>
      </c>
      <c r="Q24" t="str">
        <f>_xlfn.XLOOKUP(Base_CRM[[#This Row],[Cód do Cliente]],'[1]F &amp; O'!$A:$A,'[1]F &amp; O'!$F:$F,_xlfn.XLOOKUP(Base_CRM[[#This Row],[Assessor]],[1]DePara!$A:$A,[1]DePara!$D:$D,"Outros",0,1),0,1)</f>
        <v>Gestora</v>
      </c>
      <c r="R24" s="11" t="str">
        <f>_xlfn.XLOOKUP(Base_CRM[[#This Row],[Cód do Cliente]],'[1]F &amp; O'!$A:$A,'[1]F &amp; O'!D:D,"Sem Finder",0,1)</f>
        <v>Sem Finder</v>
      </c>
      <c r="S24" s="11" t="str">
        <f>_xlfn.XLOOKUP(Base_CRM[[#This Row],[Cód do Cliente]],'[1]F &amp; O'!$A:$A,'[1]F &amp; O'!E:E,"Sem Canal",0,1)</f>
        <v>Gestora</v>
      </c>
      <c r="T24" s="11" t="str">
        <f t="shared" si="0"/>
        <v>Cliente XP</v>
      </c>
    </row>
    <row r="25" spans="1:20" x14ac:dyDescent="0.3">
      <c r="A25">
        <v>11495376</v>
      </c>
      <c r="B25" s="8" t="s">
        <v>110</v>
      </c>
      <c r="C25" s="9" t="s">
        <v>74</v>
      </c>
      <c r="D25" s="8">
        <v>26075.32</v>
      </c>
      <c r="E25">
        <v>25000</v>
      </c>
      <c r="F25" t="s">
        <v>29</v>
      </c>
      <c r="G25" t="s">
        <v>35</v>
      </c>
      <c r="H25" s="10">
        <v>28630</v>
      </c>
      <c r="I25" s="10" t="s">
        <v>84</v>
      </c>
      <c r="K25" t="s">
        <v>42</v>
      </c>
      <c r="L25" t="s">
        <v>111</v>
      </c>
      <c r="N25" s="11" t="str">
        <f>Base_CRM[[#This Row],[Cidade]]&amp;"/"&amp;Base_CRM[[#This Row],[Estado]]</f>
        <v>NITEROI/</v>
      </c>
      <c r="O25" s="12">
        <f>IFERROR(IF(Base_CRM[[#This Row],[PL Tailor]]&gt;Base_CRM[[#This Row],[PL Declarado]],1,Base_CRM[[#This Row],[PL Tailor]]/Base_CRM[[#This Row],[PL Declarado]]),0)</f>
        <v>1</v>
      </c>
      <c r="P25" s="11" t="str">
        <f>IF(Base_CRM[[#This Row],[Estado Civil]]="","PESSOA JURÍDICA","PESSOA FÍSICA")</f>
        <v>PESSOA FÍSICA</v>
      </c>
      <c r="Q25" t="str">
        <f>_xlfn.XLOOKUP(Base_CRM[[#This Row],[Cód do Cliente]],'[1]F &amp; O'!$A:$A,'[1]F &amp; O'!$F:$F,_xlfn.XLOOKUP(Base_CRM[[#This Row],[Assessor]],[1]DePara!$A:$A,[1]DePara!$D:$D,"Outros",0,1),0,1)</f>
        <v>Thayane Freitas</v>
      </c>
      <c r="R25" s="11" t="str">
        <f>_xlfn.XLOOKUP(Base_CRM[[#This Row],[Cód do Cliente]],'[1]F &amp; O'!$A:$A,'[1]F &amp; O'!D:D,"Sem Finder",0,1)</f>
        <v>Sem Finder</v>
      </c>
      <c r="S25" s="11" t="str">
        <f>_xlfn.XLOOKUP(Base_CRM[[#This Row],[Cód do Cliente]],'[1]F &amp; O'!$A:$A,'[1]F &amp; O'!E:E,"Sem Canal",0,1)</f>
        <v>Sem Canal</v>
      </c>
      <c r="T25" s="11" t="str">
        <f t="shared" si="0"/>
        <v>Cliente XP</v>
      </c>
    </row>
    <row r="26" spans="1:20" x14ac:dyDescent="0.3">
      <c r="A26">
        <v>11503956</v>
      </c>
      <c r="B26" s="8" t="s">
        <v>112</v>
      </c>
      <c r="C26" s="9" t="s">
        <v>21</v>
      </c>
      <c r="D26" s="8">
        <v>1061730.17</v>
      </c>
      <c r="E26">
        <v>30000</v>
      </c>
      <c r="F26" t="s">
        <v>29</v>
      </c>
      <c r="G26" t="s">
        <v>35</v>
      </c>
      <c r="H26" s="10">
        <v>30658</v>
      </c>
      <c r="I26" s="10" t="s">
        <v>24</v>
      </c>
      <c r="K26" t="s">
        <v>42</v>
      </c>
      <c r="L26" t="s">
        <v>113</v>
      </c>
      <c r="N26" s="11" t="str">
        <f>Base_CRM[[#This Row],[Cidade]]&amp;"/"&amp;Base_CRM[[#This Row],[Estado]]</f>
        <v>RIO DE JANEIRO/</v>
      </c>
      <c r="O26" s="12">
        <f>IFERROR(IF(Base_CRM[[#This Row],[PL Tailor]]&gt;Base_CRM[[#This Row],[PL Declarado]],1,Base_CRM[[#This Row],[PL Tailor]]/Base_CRM[[#This Row],[PL Declarado]]),0)</f>
        <v>1</v>
      </c>
      <c r="P26" s="11" t="str">
        <f>IF(Base_CRM[[#This Row],[Estado Civil]]="","PESSOA JURÍDICA","PESSOA FÍSICA")</f>
        <v>PESSOA FÍSICA</v>
      </c>
      <c r="Q26" t="str">
        <f>_xlfn.XLOOKUP(Base_CRM[[#This Row],[Cód do Cliente]],'[1]F &amp; O'!$A:$A,'[1]F &amp; O'!$F:$F,_xlfn.XLOOKUP(Base_CRM[[#This Row],[Assessor]],[1]DePara!$A:$A,[1]DePara!$D:$D,"Outros",0,1),0,1)</f>
        <v>Leonardo Burle</v>
      </c>
      <c r="R26" s="11" t="str">
        <f>_xlfn.XLOOKUP(Base_CRM[[#This Row],[Cód do Cliente]],'[1]F &amp; O'!$A:$A,'[1]F &amp; O'!D:D,"Sem Finder",0,1)</f>
        <v>Sem Finder</v>
      </c>
      <c r="S26" s="11" t="str">
        <f>_xlfn.XLOOKUP(Base_CRM[[#This Row],[Cód do Cliente]],'[1]F &amp; O'!$A:$A,'[1]F &amp; O'!E:E,"Sem Canal",0,1)</f>
        <v>Sem Canal</v>
      </c>
      <c r="T26" s="11" t="str">
        <f t="shared" si="0"/>
        <v>Cliente XP</v>
      </c>
    </row>
    <row r="27" spans="1:20" x14ac:dyDescent="0.3">
      <c r="A27">
        <v>11549481</v>
      </c>
      <c r="B27" s="8" t="s">
        <v>114</v>
      </c>
      <c r="C27" s="9" t="s">
        <v>39</v>
      </c>
      <c r="D27" s="8">
        <v>577306.85</v>
      </c>
      <c r="E27">
        <v>100000</v>
      </c>
      <c r="F27" t="s">
        <v>29</v>
      </c>
      <c r="G27" t="s">
        <v>35</v>
      </c>
      <c r="H27" s="10">
        <v>30166</v>
      </c>
      <c r="I27" s="10" t="s">
        <v>115</v>
      </c>
      <c r="K27" t="s">
        <v>42</v>
      </c>
      <c r="L27" t="s">
        <v>116</v>
      </c>
      <c r="N27" s="11" t="str">
        <f>Base_CRM[[#This Row],[Cidade]]&amp;"/"&amp;Base_CRM[[#This Row],[Estado]]</f>
        <v>BARUERI/</v>
      </c>
      <c r="O27" s="12">
        <f>IFERROR(IF(Base_CRM[[#This Row],[PL Tailor]]&gt;Base_CRM[[#This Row],[PL Declarado]],1,Base_CRM[[#This Row],[PL Tailor]]/Base_CRM[[#This Row],[PL Declarado]]),0)</f>
        <v>1</v>
      </c>
      <c r="P27" s="11" t="str">
        <f>IF(Base_CRM[[#This Row],[Estado Civil]]="","PESSOA JURÍDICA","PESSOA FÍSICA")</f>
        <v>PESSOA FÍSICA</v>
      </c>
      <c r="Q27" t="str">
        <f>_xlfn.XLOOKUP(Base_CRM[[#This Row],[Cód do Cliente]],'[1]F &amp; O'!$A:$A,'[1]F &amp; O'!$F:$F,_xlfn.XLOOKUP(Base_CRM[[#This Row],[Assessor]],[1]DePara!$A:$A,[1]DePara!$D:$D,"Outros",0,1),0,1)</f>
        <v>Gestora</v>
      </c>
      <c r="R27" s="11" t="str">
        <f>_xlfn.XLOOKUP(Base_CRM[[#This Row],[Cód do Cliente]],'[1]F &amp; O'!$A:$A,'[1]F &amp; O'!D:D,"Sem Finder",0,1)</f>
        <v>Sem Finder</v>
      </c>
      <c r="S27" s="11" t="str">
        <f>_xlfn.XLOOKUP(Base_CRM[[#This Row],[Cód do Cliente]],'[1]F &amp; O'!$A:$A,'[1]F &amp; O'!E:E,"Sem Canal",0,1)</f>
        <v>Gestora</v>
      </c>
      <c r="T27" s="11" t="str">
        <f t="shared" si="0"/>
        <v>Cliente XP</v>
      </c>
    </row>
    <row r="28" spans="1:20" x14ac:dyDescent="0.3">
      <c r="A28">
        <v>11604902</v>
      </c>
      <c r="B28" s="8" t="s">
        <v>117</v>
      </c>
      <c r="C28" s="9" t="s">
        <v>21</v>
      </c>
      <c r="D28" s="8">
        <v>245690.57</v>
      </c>
      <c r="E28">
        <v>10000</v>
      </c>
      <c r="F28" t="s">
        <v>22</v>
      </c>
      <c r="G28" t="s">
        <v>118</v>
      </c>
      <c r="H28" s="10">
        <v>35639</v>
      </c>
      <c r="I28" s="10" t="s">
        <v>24</v>
      </c>
      <c r="K28" t="s">
        <v>25</v>
      </c>
      <c r="L28" t="s">
        <v>119</v>
      </c>
      <c r="M28" t="s">
        <v>60</v>
      </c>
      <c r="N28" s="11" t="str">
        <f>Base_CRM[[#This Row],[Cidade]]&amp;"/"&amp;Base_CRM[[#This Row],[Estado]]</f>
        <v>RIO DE JANEIRO/</v>
      </c>
      <c r="O28" s="12">
        <f>IFERROR(IF(Base_CRM[[#This Row],[PL Tailor]]&gt;Base_CRM[[#This Row],[PL Declarado]],1,Base_CRM[[#This Row],[PL Tailor]]/Base_CRM[[#This Row],[PL Declarado]]),0)</f>
        <v>1</v>
      </c>
      <c r="P28" s="11" t="str">
        <f>IF(Base_CRM[[#This Row],[Estado Civil]]="","PESSOA JURÍDICA","PESSOA FÍSICA")</f>
        <v>PESSOA FÍSICA</v>
      </c>
      <c r="Q28" t="str">
        <f>_xlfn.XLOOKUP(Base_CRM[[#This Row],[Cód do Cliente]],'[1]F &amp; O'!$A:$A,'[1]F &amp; O'!$F:$F,_xlfn.XLOOKUP(Base_CRM[[#This Row],[Assessor]],[1]DePara!$A:$A,[1]DePara!$D:$D,"Outros",0,1),0,1)</f>
        <v>Leonardo Burle</v>
      </c>
      <c r="R28" s="11" t="str">
        <f>_xlfn.XLOOKUP(Base_CRM[[#This Row],[Cód do Cliente]],'[1]F &amp; O'!$A:$A,'[1]F &amp; O'!D:D,"Sem Finder",0,1)</f>
        <v>Sem Finder</v>
      </c>
      <c r="S28" s="11" t="str">
        <f>_xlfn.XLOOKUP(Base_CRM[[#This Row],[Cód do Cliente]],'[1]F &amp; O'!$A:$A,'[1]F &amp; O'!E:E,"Sem Canal",0,1)</f>
        <v>Sem Canal</v>
      </c>
      <c r="T28" s="11" t="str">
        <f t="shared" si="0"/>
        <v>Cliente XP</v>
      </c>
    </row>
    <row r="29" spans="1:20" x14ac:dyDescent="0.3">
      <c r="A29">
        <v>11605265</v>
      </c>
      <c r="B29" s="8" t="s">
        <v>120</v>
      </c>
      <c r="C29" s="9" t="s">
        <v>21</v>
      </c>
      <c r="D29" s="8">
        <v>291876.25</v>
      </c>
      <c r="E29">
        <v>3231.87</v>
      </c>
      <c r="F29" t="s">
        <v>92</v>
      </c>
      <c r="G29" t="s">
        <v>45</v>
      </c>
      <c r="H29" s="10">
        <v>36563</v>
      </c>
      <c r="I29" s="10" t="s">
        <v>24</v>
      </c>
      <c r="K29" t="s">
        <v>25</v>
      </c>
      <c r="L29" t="s">
        <v>121</v>
      </c>
      <c r="M29" t="s">
        <v>90</v>
      </c>
      <c r="N29" s="11" t="str">
        <f>Base_CRM[[#This Row],[Cidade]]&amp;"/"&amp;Base_CRM[[#This Row],[Estado]]</f>
        <v>RIO DE JANEIRO/</v>
      </c>
      <c r="O29" s="12">
        <f>IFERROR(IF(Base_CRM[[#This Row],[PL Tailor]]&gt;Base_CRM[[#This Row],[PL Declarado]],1,Base_CRM[[#This Row],[PL Tailor]]/Base_CRM[[#This Row],[PL Declarado]]),0)</f>
        <v>1</v>
      </c>
      <c r="P29" s="11" t="str">
        <f>IF(Base_CRM[[#This Row],[Estado Civil]]="","PESSOA JURÍDICA","PESSOA FÍSICA")</f>
        <v>PESSOA FÍSICA</v>
      </c>
      <c r="Q29" t="str">
        <f>_xlfn.XLOOKUP(Base_CRM[[#This Row],[Cód do Cliente]],'[1]F &amp; O'!$A:$A,'[1]F &amp; O'!$F:$F,_xlfn.XLOOKUP(Base_CRM[[#This Row],[Assessor]],[1]DePara!$A:$A,[1]DePara!$D:$D,"Outros",0,1),0,1)</f>
        <v>Leonardo Burle</v>
      </c>
      <c r="R29" s="11" t="str">
        <f>_xlfn.XLOOKUP(Base_CRM[[#This Row],[Cód do Cliente]],'[1]F &amp; O'!$A:$A,'[1]F &amp; O'!D:D,"Sem Finder",0,1)</f>
        <v>Sem Finder</v>
      </c>
      <c r="S29" s="11" t="str">
        <f>_xlfn.XLOOKUP(Base_CRM[[#This Row],[Cód do Cliente]],'[1]F &amp; O'!$A:$A,'[1]F &amp; O'!E:E,"Sem Canal",0,1)</f>
        <v>Sem Canal</v>
      </c>
      <c r="T29" s="11" t="str">
        <f t="shared" si="0"/>
        <v>Cliente XP</v>
      </c>
    </row>
    <row r="30" spans="1:20" x14ac:dyDescent="0.3">
      <c r="A30">
        <v>116350</v>
      </c>
      <c r="B30" s="8" t="s">
        <v>122</v>
      </c>
      <c r="C30" s="9" t="s">
        <v>48</v>
      </c>
      <c r="D30" s="8">
        <v>1185378.1299999999</v>
      </c>
      <c r="E30">
        <v>1500000</v>
      </c>
      <c r="F30" t="s">
        <v>22</v>
      </c>
      <c r="G30" t="s">
        <v>67</v>
      </c>
      <c r="H30" s="10">
        <v>34416</v>
      </c>
      <c r="I30" s="10" t="s">
        <v>123</v>
      </c>
      <c r="K30" t="s">
        <v>25</v>
      </c>
      <c r="L30" t="s">
        <v>124</v>
      </c>
      <c r="M30" t="s">
        <v>125</v>
      </c>
      <c r="N30" s="11" t="str">
        <f>Base_CRM[[#This Row],[Cidade]]&amp;"/"&amp;Base_CRM[[#This Row],[Estado]]</f>
        <v>BRUMADO/</v>
      </c>
      <c r="O30" s="12">
        <f>IFERROR(IF(Base_CRM[[#This Row],[PL Tailor]]&gt;Base_CRM[[#This Row],[PL Declarado]],1,Base_CRM[[#This Row],[PL Tailor]]/Base_CRM[[#This Row],[PL Declarado]]),0)</f>
        <v>0.79025208666666658</v>
      </c>
      <c r="P30" s="11" t="str">
        <f>IF(Base_CRM[[#This Row],[Estado Civil]]="","PESSOA JURÍDICA","PESSOA FÍSICA")</f>
        <v>PESSOA FÍSICA</v>
      </c>
      <c r="Q30" t="str">
        <f>_xlfn.XLOOKUP(Base_CRM[[#This Row],[Cód do Cliente]],'[1]F &amp; O'!$A:$A,'[1]F &amp; O'!$F:$F,_xlfn.XLOOKUP(Base_CRM[[#This Row],[Assessor]],[1]DePara!$A:$A,[1]DePara!$D:$D,"Outros",0,1),0,1)</f>
        <v>Raphael Farias</v>
      </c>
      <c r="R30" s="11" t="str">
        <f>_xlfn.XLOOKUP(Base_CRM[[#This Row],[Cód do Cliente]],'[1]F &amp; O'!$A:$A,'[1]F &amp; O'!D:D,"Sem Finder",0,1)</f>
        <v>Sem Finder</v>
      </c>
      <c r="S30" s="11" t="str">
        <f>_xlfn.XLOOKUP(Base_CRM[[#This Row],[Cód do Cliente]],'[1]F &amp; O'!$A:$A,'[1]F &amp; O'!E:E,"Sem Canal",0,1)</f>
        <v>Sem Canal</v>
      </c>
      <c r="T30" s="11" t="str">
        <f t="shared" si="0"/>
        <v>Cliente XP</v>
      </c>
    </row>
    <row r="31" spans="1:20" x14ac:dyDescent="0.3">
      <c r="A31">
        <v>11703817</v>
      </c>
      <c r="B31" s="8" t="s">
        <v>126</v>
      </c>
      <c r="C31" s="9" t="s">
        <v>21</v>
      </c>
      <c r="D31" s="8">
        <v>258408.67</v>
      </c>
      <c r="E31">
        <v>1</v>
      </c>
      <c r="F31" t="s">
        <v>29</v>
      </c>
      <c r="G31" t="s">
        <v>127</v>
      </c>
      <c r="H31" s="10">
        <v>18190</v>
      </c>
      <c r="I31" s="10" t="s">
        <v>62</v>
      </c>
      <c r="K31" t="s">
        <v>68</v>
      </c>
      <c r="L31" t="s">
        <v>128</v>
      </c>
      <c r="M31" t="s">
        <v>77</v>
      </c>
      <c r="N31" s="11" t="str">
        <f>Base_CRM[[#This Row],[Cidade]]&amp;"/"&amp;Base_CRM[[#This Row],[Estado]]</f>
        <v>Rio de Janeiro/</v>
      </c>
      <c r="O31" s="12">
        <f>IFERROR(IF(Base_CRM[[#This Row],[PL Tailor]]&gt;Base_CRM[[#This Row],[PL Declarado]],1,Base_CRM[[#This Row],[PL Tailor]]/Base_CRM[[#This Row],[PL Declarado]]),0)</f>
        <v>1</v>
      </c>
      <c r="P31" s="11" t="str">
        <f>IF(Base_CRM[[#This Row],[Estado Civil]]="","PESSOA JURÍDICA","PESSOA FÍSICA")</f>
        <v>PESSOA FÍSICA</v>
      </c>
      <c r="Q31" t="str">
        <f>_xlfn.XLOOKUP(Base_CRM[[#This Row],[Cód do Cliente]],'[1]F &amp; O'!$A:$A,'[1]F &amp; O'!$F:$F,_xlfn.XLOOKUP(Base_CRM[[#This Row],[Assessor]],[1]DePara!$A:$A,[1]DePara!$D:$D,"Outros",0,1),0,1)</f>
        <v>Leonardo Burle</v>
      </c>
      <c r="R31" s="11" t="str">
        <f>_xlfn.XLOOKUP(Base_CRM[[#This Row],[Cód do Cliente]],'[1]F &amp; O'!$A:$A,'[1]F &amp; O'!D:D,"Sem Finder",0,1)</f>
        <v>Sem Finder</v>
      </c>
      <c r="S31" s="11" t="str">
        <f>_xlfn.XLOOKUP(Base_CRM[[#This Row],[Cód do Cliente]],'[1]F &amp; O'!$A:$A,'[1]F &amp; O'!E:E,"Sem Canal",0,1)</f>
        <v>Sem Canal</v>
      </c>
      <c r="T31" s="11" t="str">
        <f t="shared" si="0"/>
        <v>Cliente XP</v>
      </c>
    </row>
    <row r="32" spans="1:20" x14ac:dyDescent="0.3">
      <c r="A32">
        <v>11738444</v>
      </c>
      <c r="B32" s="8" t="s">
        <v>129</v>
      </c>
      <c r="C32" s="9" t="s">
        <v>74</v>
      </c>
      <c r="D32" s="8">
        <v>0</v>
      </c>
      <c r="E32">
        <v>1</v>
      </c>
      <c r="F32" t="s">
        <v>40</v>
      </c>
      <c r="G32" t="s">
        <v>67</v>
      </c>
      <c r="H32" s="10">
        <v>30460</v>
      </c>
      <c r="I32" s="10" t="s">
        <v>130</v>
      </c>
      <c r="K32" t="s">
        <v>25</v>
      </c>
      <c r="L32" t="s">
        <v>131</v>
      </c>
      <c r="N32" s="11" t="str">
        <f>Base_CRM[[#This Row],[Cidade]]&amp;"/"&amp;Base_CRM[[#This Row],[Estado]]</f>
        <v>FLORIANOPOLIS/</v>
      </c>
      <c r="O32" s="12">
        <f>IFERROR(IF(Base_CRM[[#This Row],[PL Tailor]]&gt;Base_CRM[[#This Row],[PL Declarado]],1,Base_CRM[[#This Row],[PL Tailor]]/Base_CRM[[#This Row],[PL Declarado]]),0)</f>
        <v>0</v>
      </c>
      <c r="P32" s="11" t="str">
        <f>IF(Base_CRM[[#This Row],[Estado Civil]]="","PESSOA JURÍDICA","PESSOA FÍSICA")</f>
        <v>PESSOA FÍSICA</v>
      </c>
      <c r="Q32" t="str">
        <f>_xlfn.XLOOKUP(Base_CRM[[#This Row],[Cód do Cliente]],'[1]F &amp; O'!$A:$A,'[1]F &amp; O'!$F:$F,_xlfn.XLOOKUP(Base_CRM[[#This Row],[Assessor]],[1]DePara!$A:$A,[1]DePara!$D:$D,"Outros",0,1),0,1)</f>
        <v>Thayane Freitas</v>
      </c>
      <c r="R32" s="11" t="str">
        <f>_xlfn.XLOOKUP(Base_CRM[[#This Row],[Cód do Cliente]],'[1]F &amp; O'!$A:$A,'[1]F &amp; O'!D:D,"Sem Finder",0,1)</f>
        <v>Sem Finder</v>
      </c>
      <c r="S32" s="11" t="str">
        <f>_xlfn.XLOOKUP(Base_CRM[[#This Row],[Cód do Cliente]],'[1]F &amp; O'!$A:$A,'[1]F &amp; O'!E:E,"Sem Canal",0,1)</f>
        <v>Sem Canal</v>
      </c>
      <c r="T32" s="11" t="str">
        <f t="shared" si="0"/>
        <v>Cliente XP</v>
      </c>
    </row>
    <row r="33" spans="1:20" x14ac:dyDescent="0.3">
      <c r="A33">
        <v>11758088</v>
      </c>
      <c r="B33" s="8" t="s">
        <v>132</v>
      </c>
      <c r="C33" s="9" t="s">
        <v>21</v>
      </c>
      <c r="D33" s="8">
        <v>21060754.359999999</v>
      </c>
      <c r="E33">
        <v>15000000</v>
      </c>
      <c r="F33" t="s">
        <v>22</v>
      </c>
      <c r="G33" t="s">
        <v>133</v>
      </c>
      <c r="H33" s="10">
        <v>19981</v>
      </c>
      <c r="I33" s="10" t="s">
        <v>24</v>
      </c>
      <c r="K33" t="s">
        <v>25</v>
      </c>
      <c r="L33" t="s">
        <v>134</v>
      </c>
      <c r="M33" t="s">
        <v>64</v>
      </c>
      <c r="N33" s="11" t="str">
        <f>Base_CRM[[#This Row],[Cidade]]&amp;"/"&amp;Base_CRM[[#This Row],[Estado]]</f>
        <v>RIO DE JANEIRO/</v>
      </c>
      <c r="O33" s="12">
        <f>IFERROR(IF(Base_CRM[[#This Row],[PL Tailor]]&gt;Base_CRM[[#This Row],[PL Declarado]],1,Base_CRM[[#This Row],[PL Tailor]]/Base_CRM[[#This Row],[PL Declarado]]),0)</f>
        <v>1</v>
      </c>
      <c r="P33" s="11" t="str">
        <f>IF(Base_CRM[[#This Row],[Estado Civil]]="","PESSOA JURÍDICA","PESSOA FÍSICA")</f>
        <v>PESSOA FÍSICA</v>
      </c>
      <c r="Q33" t="str">
        <f>_xlfn.XLOOKUP(Base_CRM[[#This Row],[Cód do Cliente]],'[1]F &amp; O'!$A:$A,'[1]F &amp; O'!$F:$F,_xlfn.XLOOKUP(Base_CRM[[#This Row],[Assessor]],[1]DePara!$A:$A,[1]DePara!$D:$D,"Outros",0,1),0,1)</f>
        <v>Leonardo Burle</v>
      </c>
      <c r="R33" s="11" t="str">
        <f>_xlfn.XLOOKUP(Base_CRM[[#This Row],[Cód do Cliente]],'[1]F &amp; O'!$A:$A,'[1]F &amp; O'!D:D,"Sem Finder",0,1)</f>
        <v>Sem Finder</v>
      </c>
      <c r="S33" s="11" t="str">
        <f>_xlfn.XLOOKUP(Base_CRM[[#This Row],[Cód do Cliente]],'[1]F &amp; O'!$A:$A,'[1]F &amp; O'!E:E,"Sem Canal",0,1)</f>
        <v>Sem Canal</v>
      </c>
      <c r="T33" s="11" t="str">
        <f t="shared" si="0"/>
        <v>Cliente XP</v>
      </c>
    </row>
    <row r="34" spans="1:20" x14ac:dyDescent="0.3">
      <c r="A34">
        <v>11784321</v>
      </c>
      <c r="B34" s="8" t="s">
        <v>135</v>
      </c>
      <c r="C34" s="9" t="s">
        <v>34</v>
      </c>
      <c r="D34" s="8">
        <v>16728.349999999999</v>
      </c>
      <c r="E34">
        <v>10000</v>
      </c>
      <c r="F34" t="s">
        <v>22</v>
      </c>
      <c r="G34" t="s">
        <v>45</v>
      </c>
      <c r="H34" s="10">
        <v>43686</v>
      </c>
      <c r="I34" s="10" t="s">
        <v>136</v>
      </c>
      <c r="K34" t="s">
        <v>25</v>
      </c>
      <c r="L34" t="s">
        <v>137</v>
      </c>
      <c r="N34" s="11" t="str">
        <f>Base_CRM[[#This Row],[Cidade]]&amp;"/"&amp;Base_CRM[[#This Row],[Estado]]</f>
        <v>BRAZOPOLIS/</v>
      </c>
      <c r="O34" s="12">
        <f>IFERROR(IF(Base_CRM[[#This Row],[PL Tailor]]&gt;Base_CRM[[#This Row],[PL Declarado]],1,Base_CRM[[#This Row],[PL Tailor]]/Base_CRM[[#This Row],[PL Declarado]]),0)</f>
        <v>1</v>
      </c>
      <c r="P34" s="11" t="str">
        <f>IF(Base_CRM[[#This Row],[Estado Civil]]="","PESSOA JURÍDICA","PESSOA FÍSICA")</f>
        <v>PESSOA FÍSICA</v>
      </c>
      <c r="Q34" t="str">
        <f>_xlfn.XLOOKUP(Base_CRM[[#This Row],[Cód do Cliente]],'[1]F &amp; O'!$A:$A,'[1]F &amp; O'!$F:$F,_xlfn.XLOOKUP(Base_CRM[[#This Row],[Assessor]],[1]DePara!$A:$A,[1]DePara!$D:$D,"Outros",0,1),0,1)</f>
        <v>Adonias Noronha</v>
      </c>
      <c r="R34" s="11" t="str">
        <f>_xlfn.XLOOKUP(Base_CRM[[#This Row],[Cód do Cliente]],'[1]F &amp; O'!$A:$A,'[1]F &amp; O'!D:D,"Sem Finder",0,1)</f>
        <v>Sem Finder</v>
      </c>
      <c r="S34" s="11" t="str">
        <f>_xlfn.XLOOKUP(Base_CRM[[#This Row],[Cód do Cliente]],'[1]F &amp; O'!$A:$A,'[1]F &amp; O'!E:E,"Sem Canal",0,1)</f>
        <v>Sem Canal</v>
      </c>
      <c r="T34" s="11" t="str">
        <f t="shared" si="0"/>
        <v>Cliente XP</v>
      </c>
    </row>
    <row r="35" spans="1:20" x14ac:dyDescent="0.3">
      <c r="A35">
        <v>11812853</v>
      </c>
      <c r="B35" s="8" t="s">
        <v>138</v>
      </c>
      <c r="C35" s="9" t="s">
        <v>21</v>
      </c>
      <c r="D35" s="8">
        <v>0</v>
      </c>
      <c r="E35">
        <v>1</v>
      </c>
      <c r="F35" t="s">
        <v>29</v>
      </c>
      <c r="G35" t="s">
        <v>52</v>
      </c>
      <c r="H35" s="10">
        <v>35568</v>
      </c>
      <c r="I35" s="10" t="s">
        <v>31</v>
      </c>
      <c r="K35" t="s">
        <v>25</v>
      </c>
      <c r="L35" t="s">
        <v>139</v>
      </c>
      <c r="N35" s="11" t="str">
        <f>Base_CRM[[#This Row],[Cidade]]&amp;"/"&amp;Base_CRM[[#This Row],[Estado]]</f>
        <v>SAO PAULO/</v>
      </c>
      <c r="O35" s="12">
        <f>IFERROR(IF(Base_CRM[[#This Row],[PL Tailor]]&gt;Base_CRM[[#This Row],[PL Declarado]],1,Base_CRM[[#This Row],[PL Tailor]]/Base_CRM[[#This Row],[PL Declarado]]),0)</f>
        <v>0</v>
      </c>
      <c r="P35" s="11" t="str">
        <f>IF(Base_CRM[[#This Row],[Estado Civil]]="","PESSOA JURÍDICA","PESSOA FÍSICA")</f>
        <v>PESSOA FÍSICA</v>
      </c>
      <c r="Q35" t="str">
        <f>_xlfn.XLOOKUP(Base_CRM[[#This Row],[Cód do Cliente]],'[1]F &amp; O'!$A:$A,'[1]F &amp; O'!$F:$F,_xlfn.XLOOKUP(Base_CRM[[#This Row],[Assessor]],[1]DePara!$A:$A,[1]DePara!$D:$D,"Outros",0,1),0,1)</f>
        <v>Leonardo Burle</v>
      </c>
      <c r="R35" s="11" t="str">
        <f>_xlfn.XLOOKUP(Base_CRM[[#This Row],[Cód do Cliente]],'[1]F &amp; O'!$A:$A,'[1]F &amp; O'!D:D,"Sem Finder",0,1)</f>
        <v>Sem Finder</v>
      </c>
      <c r="S35" s="11" t="str">
        <f>_xlfn.XLOOKUP(Base_CRM[[#This Row],[Cód do Cliente]],'[1]F &amp; O'!$A:$A,'[1]F &amp; O'!E:E,"Sem Canal",0,1)</f>
        <v>Sem Canal</v>
      </c>
      <c r="T35" s="11" t="str">
        <f t="shared" si="0"/>
        <v>Cliente XP</v>
      </c>
    </row>
    <row r="36" spans="1:20" x14ac:dyDescent="0.3">
      <c r="A36">
        <v>11817176</v>
      </c>
      <c r="B36" s="8" t="s">
        <v>140</v>
      </c>
      <c r="C36" s="9" t="s">
        <v>34</v>
      </c>
      <c r="D36" s="8">
        <v>0</v>
      </c>
      <c r="E36">
        <v>1</v>
      </c>
      <c r="F36" t="s">
        <v>29</v>
      </c>
      <c r="G36" t="s">
        <v>141</v>
      </c>
      <c r="H36" s="10">
        <v>29338</v>
      </c>
      <c r="I36" s="10" t="s">
        <v>142</v>
      </c>
      <c r="K36" t="s">
        <v>25</v>
      </c>
      <c r="L36" t="s">
        <v>143</v>
      </c>
      <c r="N36" s="11" t="str">
        <f>Base_CRM[[#This Row],[Cidade]]&amp;"/"&amp;Base_CRM[[#This Row],[Estado]]</f>
        <v>SAO JOSE DOS CAMPOS/</v>
      </c>
      <c r="O36" s="12">
        <f>IFERROR(IF(Base_CRM[[#This Row],[PL Tailor]]&gt;Base_CRM[[#This Row],[PL Declarado]],1,Base_CRM[[#This Row],[PL Tailor]]/Base_CRM[[#This Row],[PL Declarado]]),0)</f>
        <v>0</v>
      </c>
      <c r="P36" s="11" t="str">
        <f>IF(Base_CRM[[#This Row],[Estado Civil]]="","PESSOA JURÍDICA","PESSOA FÍSICA")</f>
        <v>PESSOA FÍSICA</v>
      </c>
      <c r="Q36" t="str">
        <f>_xlfn.XLOOKUP(Base_CRM[[#This Row],[Cód do Cliente]],'[1]F &amp; O'!$A:$A,'[1]F &amp; O'!$F:$F,_xlfn.XLOOKUP(Base_CRM[[#This Row],[Assessor]],[1]DePara!$A:$A,[1]DePara!$D:$D,"Outros",0,1),0,1)</f>
        <v>Adonias Noronha</v>
      </c>
      <c r="R36" s="11" t="str">
        <f>_xlfn.XLOOKUP(Base_CRM[[#This Row],[Cód do Cliente]],'[1]F &amp; O'!$A:$A,'[1]F &amp; O'!D:D,"Sem Finder",0,1)</f>
        <v>Sem Finder</v>
      </c>
      <c r="S36" s="11" t="str">
        <f>_xlfn.XLOOKUP(Base_CRM[[#This Row],[Cód do Cliente]],'[1]F &amp; O'!$A:$A,'[1]F &amp; O'!E:E,"Sem Canal",0,1)</f>
        <v>Sem Canal</v>
      </c>
      <c r="T36" s="11" t="str">
        <f t="shared" si="0"/>
        <v>Cliente XP</v>
      </c>
    </row>
    <row r="37" spans="1:20" x14ac:dyDescent="0.3">
      <c r="A37">
        <v>11887979</v>
      </c>
      <c r="B37" s="8" t="s">
        <v>144</v>
      </c>
      <c r="C37" s="9" t="s">
        <v>39</v>
      </c>
      <c r="D37" s="8">
        <v>17112.810000000001</v>
      </c>
      <c r="E37">
        <v>3500</v>
      </c>
      <c r="F37" t="s">
        <v>40</v>
      </c>
      <c r="G37" t="s">
        <v>145</v>
      </c>
      <c r="H37" s="10">
        <v>33214</v>
      </c>
      <c r="I37" s="10" t="s">
        <v>115</v>
      </c>
      <c r="K37" t="s">
        <v>25</v>
      </c>
      <c r="L37" t="s">
        <v>146</v>
      </c>
      <c r="N37" s="11" t="str">
        <f>Base_CRM[[#This Row],[Cidade]]&amp;"/"&amp;Base_CRM[[#This Row],[Estado]]</f>
        <v>BARUERI/</v>
      </c>
      <c r="O37" s="12">
        <f>IFERROR(IF(Base_CRM[[#This Row],[PL Tailor]]&gt;Base_CRM[[#This Row],[PL Declarado]],1,Base_CRM[[#This Row],[PL Tailor]]/Base_CRM[[#This Row],[PL Declarado]]),0)</f>
        <v>1</v>
      </c>
      <c r="P37" s="11" t="str">
        <f>IF(Base_CRM[[#This Row],[Estado Civil]]="","PESSOA JURÍDICA","PESSOA FÍSICA")</f>
        <v>PESSOA FÍSICA</v>
      </c>
      <c r="Q37" t="str">
        <f>_xlfn.XLOOKUP(Base_CRM[[#This Row],[Cód do Cliente]],'[1]F &amp; O'!$A:$A,'[1]F &amp; O'!$F:$F,_xlfn.XLOOKUP(Base_CRM[[#This Row],[Assessor]],[1]DePara!$A:$A,[1]DePara!$D:$D,"Outros",0,1),0,1)</f>
        <v>Gestora</v>
      </c>
      <c r="R37" s="11" t="str">
        <f>_xlfn.XLOOKUP(Base_CRM[[#This Row],[Cód do Cliente]],'[1]F &amp; O'!$A:$A,'[1]F &amp; O'!D:D,"Sem Finder",0,1)</f>
        <v>Sem Finder</v>
      </c>
      <c r="S37" s="11" t="str">
        <f>_xlfn.XLOOKUP(Base_CRM[[#This Row],[Cód do Cliente]],'[1]F &amp; O'!$A:$A,'[1]F &amp; O'!E:E,"Sem Canal",0,1)</f>
        <v>Gestora</v>
      </c>
      <c r="T37" s="11" t="str">
        <f t="shared" si="0"/>
        <v>Cliente XP</v>
      </c>
    </row>
    <row r="38" spans="1:20" x14ac:dyDescent="0.3">
      <c r="A38">
        <v>11904454</v>
      </c>
      <c r="B38" s="8" t="s">
        <v>147</v>
      </c>
      <c r="C38" s="9" t="s">
        <v>39</v>
      </c>
      <c r="D38" s="8">
        <v>202294.31</v>
      </c>
      <c r="E38">
        <v>400000</v>
      </c>
      <c r="F38" t="s">
        <v>40</v>
      </c>
      <c r="G38" t="s">
        <v>35</v>
      </c>
      <c r="H38" s="10">
        <v>11153</v>
      </c>
      <c r="I38" s="10" t="s">
        <v>31</v>
      </c>
      <c r="K38" t="s">
        <v>68</v>
      </c>
      <c r="L38" t="s">
        <v>148</v>
      </c>
      <c r="N38" s="11" t="str">
        <f>Base_CRM[[#This Row],[Cidade]]&amp;"/"&amp;Base_CRM[[#This Row],[Estado]]</f>
        <v>SAO PAULO/</v>
      </c>
      <c r="O38" s="12">
        <f>IFERROR(IF(Base_CRM[[#This Row],[PL Tailor]]&gt;Base_CRM[[#This Row],[PL Declarado]],1,Base_CRM[[#This Row],[PL Tailor]]/Base_CRM[[#This Row],[PL Declarado]]),0)</f>
        <v>0.505735775</v>
      </c>
      <c r="P38" s="11" t="str">
        <f>IF(Base_CRM[[#This Row],[Estado Civil]]="","PESSOA JURÍDICA","PESSOA FÍSICA")</f>
        <v>PESSOA FÍSICA</v>
      </c>
      <c r="Q38" t="str">
        <f>_xlfn.XLOOKUP(Base_CRM[[#This Row],[Cód do Cliente]],'[1]F &amp; O'!$A:$A,'[1]F &amp; O'!$F:$F,_xlfn.XLOOKUP(Base_CRM[[#This Row],[Assessor]],[1]DePara!$A:$A,[1]DePara!$D:$D,"Outros",0,1),0,1)</f>
        <v>Gestora</v>
      </c>
      <c r="R38" s="11" t="str">
        <f>_xlfn.XLOOKUP(Base_CRM[[#This Row],[Cód do Cliente]],'[1]F &amp; O'!$A:$A,'[1]F &amp; O'!D:D,"Sem Finder",0,1)</f>
        <v>Pedro Chagas</v>
      </c>
      <c r="S38" s="11" t="str">
        <f>_xlfn.XLOOKUP(Base_CRM[[#This Row],[Cód do Cliente]],'[1]F &amp; O'!$A:$A,'[1]F &amp; O'!E:E,"Sem Canal",0,1)</f>
        <v>Gestora</v>
      </c>
      <c r="T38" s="11" t="str">
        <f t="shared" si="0"/>
        <v>Cliente XP</v>
      </c>
    </row>
    <row r="39" spans="1:20" x14ac:dyDescent="0.3">
      <c r="A39">
        <v>11944367</v>
      </c>
      <c r="B39" s="8" t="s">
        <v>149</v>
      </c>
      <c r="C39" s="9" t="s">
        <v>66</v>
      </c>
      <c r="D39" s="8">
        <v>104594.13</v>
      </c>
      <c r="E39">
        <v>5000000</v>
      </c>
      <c r="F39" t="s">
        <v>22</v>
      </c>
      <c r="G39" t="s">
        <v>67</v>
      </c>
      <c r="H39" s="10">
        <v>32000</v>
      </c>
      <c r="I39" s="10" t="s">
        <v>31</v>
      </c>
      <c r="K39" t="s">
        <v>42</v>
      </c>
      <c r="L39" t="s">
        <v>150</v>
      </c>
      <c r="M39" t="s">
        <v>60</v>
      </c>
      <c r="N39" s="11" t="str">
        <f>Base_CRM[[#This Row],[Cidade]]&amp;"/"&amp;Base_CRM[[#This Row],[Estado]]</f>
        <v>SAO PAULO/</v>
      </c>
      <c r="O39" s="12">
        <f>IFERROR(IF(Base_CRM[[#This Row],[PL Tailor]]&gt;Base_CRM[[#This Row],[PL Declarado]],1,Base_CRM[[#This Row],[PL Tailor]]/Base_CRM[[#This Row],[PL Declarado]]),0)</f>
        <v>2.0918826000000001E-2</v>
      </c>
      <c r="P39" s="11" t="str">
        <f>IF(Base_CRM[[#This Row],[Estado Civil]]="","PESSOA JURÍDICA","PESSOA FÍSICA")</f>
        <v>PESSOA FÍSICA</v>
      </c>
      <c r="Q39" t="str">
        <f>_xlfn.XLOOKUP(Base_CRM[[#This Row],[Cód do Cliente]],'[1]F &amp; O'!$A:$A,'[1]F &amp; O'!$F:$F,_xlfn.XLOOKUP(Base_CRM[[#This Row],[Assessor]],[1]DePara!$A:$A,[1]DePara!$D:$D,"Outros",0,1),0,1)</f>
        <v>Caroline Vlavianos</v>
      </c>
      <c r="R39" s="11" t="str">
        <f>_xlfn.XLOOKUP(Base_CRM[[#This Row],[Cód do Cliente]],'[1]F &amp; O'!$A:$A,'[1]F &amp; O'!D:D,"Sem Finder",0,1)</f>
        <v>Sem Finder</v>
      </c>
      <c r="S39" s="11" t="str">
        <f>_xlfn.XLOOKUP(Base_CRM[[#This Row],[Cód do Cliente]],'[1]F &amp; O'!$A:$A,'[1]F &amp; O'!E:E,"Sem Canal",0,1)</f>
        <v>Sem Canal</v>
      </c>
      <c r="T39" s="11" t="str">
        <f t="shared" si="0"/>
        <v>Cliente XP</v>
      </c>
    </row>
    <row r="40" spans="1:20" x14ac:dyDescent="0.3">
      <c r="A40">
        <v>11946318</v>
      </c>
      <c r="B40" s="8" t="s">
        <v>151</v>
      </c>
      <c r="C40" s="9" t="s">
        <v>48</v>
      </c>
      <c r="D40" s="8">
        <v>389724.91</v>
      </c>
      <c r="E40">
        <v>2000</v>
      </c>
      <c r="F40" t="s">
        <v>29</v>
      </c>
      <c r="G40" t="s">
        <v>35</v>
      </c>
      <c r="H40" s="10">
        <v>32219</v>
      </c>
      <c r="I40" s="10" t="s">
        <v>31</v>
      </c>
      <c r="K40" t="s">
        <v>42</v>
      </c>
      <c r="L40" t="s">
        <v>152</v>
      </c>
      <c r="N40" s="11" t="str">
        <f>Base_CRM[[#This Row],[Cidade]]&amp;"/"&amp;Base_CRM[[#This Row],[Estado]]</f>
        <v>SAO PAULO/</v>
      </c>
      <c r="O40" s="12">
        <f>IFERROR(IF(Base_CRM[[#This Row],[PL Tailor]]&gt;Base_CRM[[#This Row],[PL Declarado]],1,Base_CRM[[#This Row],[PL Tailor]]/Base_CRM[[#This Row],[PL Declarado]]),0)</f>
        <v>1</v>
      </c>
      <c r="P40" s="11" t="str">
        <f>IF(Base_CRM[[#This Row],[Estado Civil]]="","PESSOA JURÍDICA","PESSOA FÍSICA")</f>
        <v>PESSOA FÍSICA</v>
      </c>
      <c r="Q40" t="str">
        <f>_xlfn.XLOOKUP(Base_CRM[[#This Row],[Cód do Cliente]],'[1]F &amp; O'!$A:$A,'[1]F &amp; O'!$F:$F,_xlfn.XLOOKUP(Base_CRM[[#This Row],[Assessor]],[1]DePara!$A:$A,[1]DePara!$D:$D,"Outros",0,1),0,1)</f>
        <v>Raphael Farias</v>
      </c>
      <c r="R40" s="11" t="str">
        <f>_xlfn.XLOOKUP(Base_CRM[[#This Row],[Cód do Cliente]],'[1]F &amp; O'!$A:$A,'[1]F &amp; O'!D:D,"Sem Finder",0,1)</f>
        <v>Sem Finder</v>
      </c>
      <c r="S40" s="11" t="str">
        <f>_xlfn.XLOOKUP(Base_CRM[[#This Row],[Cód do Cliente]],'[1]F &amp; O'!$A:$A,'[1]F &amp; O'!E:E,"Sem Canal",0,1)</f>
        <v>Sem Canal</v>
      </c>
      <c r="T40" s="11" t="str">
        <f t="shared" si="0"/>
        <v>Cliente XP</v>
      </c>
    </row>
    <row r="41" spans="1:20" x14ac:dyDescent="0.3">
      <c r="A41">
        <v>121195</v>
      </c>
      <c r="B41" s="8" t="s">
        <v>153</v>
      </c>
      <c r="C41" s="9" t="s">
        <v>74</v>
      </c>
      <c r="D41" s="8">
        <v>91001.99</v>
      </c>
      <c r="E41">
        <v>50000</v>
      </c>
      <c r="F41" t="s">
        <v>22</v>
      </c>
      <c r="G41" t="s">
        <v>35</v>
      </c>
      <c r="H41" s="10">
        <v>21565</v>
      </c>
      <c r="I41" s="10" t="s">
        <v>154</v>
      </c>
      <c r="K41" t="s">
        <v>42</v>
      </c>
      <c r="L41" t="s">
        <v>155</v>
      </c>
      <c r="N41" s="11" t="str">
        <f>Base_CRM[[#This Row],[Cidade]]&amp;"/"&amp;Base_CRM[[#This Row],[Estado]]</f>
        <v>DIADEMA/</v>
      </c>
      <c r="O41" s="12">
        <f>IFERROR(IF(Base_CRM[[#This Row],[PL Tailor]]&gt;Base_CRM[[#This Row],[PL Declarado]],1,Base_CRM[[#This Row],[PL Tailor]]/Base_CRM[[#This Row],[PL Declarado]]),0)</f>
        <v>1</v>
      </c>
      <c r="P41" s="11" t="str">
        <f>IF(Base_CRM[[#This Row],[Estado Civil]]="","PESSOA JURÍDICA","PESSOA FÍSICA")</f>
        <v>PESSOA FÍSICA</v>
      </c>
      <c r="Q41" t="str">
        <f>_xlfn.XLOOKUP(Base_CRM[[#This Row],[Cód do Cliente]],'[1]F &amp; O'!$A:$A,'[1]F &amp; O'!$F:$F,_xlfn.XLOOKUP(Base_CRM[[#This Row],[Assessor]],[1]DePara!$A:$A,[1]DePara!$D:$D,"Outros",0,1),0,1)</f>
        <v>Thayane Freitas</v>
      </c>
      <c r="R41" s="11" t="str">
        <f>_xlfn.XLOOKUP(Base_CRM[[#This Row],[Cód do Cliente]],'[1]F &amp; O'!$A:$A,'[1]F &amp; O'!D:D,"Sem Finder",0,1)</f>
        <v>Sem Finder</v>
      </c>
      <c r="S41" s="11" t="str">
        <f>_xlfn.XLOOKUP(Base_CRM[[#This Row],[Cód do Cliente]],'[1]F &amp; O'!$A:$A,'[1]F &amp; O'!E:E,"Sem Canal",0,1)</f>
        <v>Sem Canal</v>
      </c>
      <c r="T41" s="11" t="str">
        <f t="shared" si="0"/>
        <v>Cliente XP</v>
      </c>
    </row>
    <row r="42" spans="1:20" x14ac:dyDescent="0.3">
      <c r="A42">
        <v>121227</v>
      </c>
      <c r="B42" s="8" t="s">
        <v>156</v>
      </c>
      <c r="C42" s="9" t="s">
        <v>74</v>
      </c>
      <c r="D42" s="8">
        <v>0</v>
      </c>
      <c r="E42">
        <v>0</v>
      </c>
      <c r="F42" t="s">
        <v>40</v>
      </c>
      <c r="G42" t="s">
        <v>35</v>
      </c>
      <c r="H42" s="10">
        <v>20435</v>
      </c>
      <c r="I42" s="10" t="s">
        <v>157</v>
      </c>
      <c r="K42" t="s">
        <v>25</v>
      </c>
      <c r="L42" t="s">
        <v>158</v>
      </c>
      <c r="N42" s="11" t="str">
        <f>Base_CRM[[#This Row],[Cidade]]&amp;"/"&amp;Base_CRM[[#This Row],[Estado]]</f>
        <v>VARGEM GRANDE PAULISTA/</v>
      </c>
      <c r="O42" s="12">
        <f>IFERROR(IF(Base_CRM[[#This Row],[PL Tailor]]&gt;Base_CRM[[#This Row],[PL Declarado]],1,Base_CRM[[#This Row],[PL Tailor]]/Base_CRM[[#This Row],[PL Declarado]]),0)</f>
        <v>0</v>
      </c>
      <c r="P42" s="11" t="str">
        <f>IF(Base_CRM[[#This Row],[Estado Civil]]="","PESSOA JURÍDICA","PESSOA FÍSICA")</f>
        <v>PESSOA FÍSICA</v>
      </c>
      <c r="Q42" t="str">
        <f>_xlfn.XLOOKUP(Base_CRM[[#This Row],[Cód do Cliente]],'[1]F &amp; O'!$A:$A,'[1]F &amp; O'!$F:$F,_xlfn.XLOOKUP(Base_CRM[[#This Row],[Assessor]],[1]DePara!$A:$A,[1]DePara!$D:$D,"Outros",0,1),0,1)</f>
        <v>Legado</v>
      </c>
      <c r="R42" s="11" t="str">
        <f>_xlfn.XLOOKUP(Base_CRM[[#This Row],[Cód do Cliente]],'[1]F &amp; O'!$A:$A,'[1]F &amp; O'!D:D,"Sem Finder",0,1)</f>
        <v>Sem Finder</v>
      </c>
      <c r="S42" s="11" t="str">
        <f>_xlfn.XLOOKUP(Base_CRM[[#This Row],[Cód do Cliente]],'[1]F &amp; O'!$A:$A,'[1]F &amp; O'!E:E,"Sem Canal",0,1)</f>
        <v>Gestora</v>
      </c>
      <c r="T42" s="11" t="str">
        <f t="shared" si="0"/>
        <v>Cliente XP</v>
      </c>
    </row>
    <row r="43" spans="1:20" x14ac:dyDescent="0.3">
      <c r="A43">
        <v>121246</v>
      </c>
      <c r="B43" s="8" t="s">
        <v>159</v>
      </c>
      <c r="C43" s="9" t="s">
        <v>74</v>
      </c>
      <c r="D43" s="8">
        <v>0</v>
      </c>
      <c r="E43">
        <v>0</v>
      </c>
      <c r="F43" t="s">
        <v>22</v>
      </c>
      <c r="G43" t="s">
        <v>35</v>
      </c>
      <c r="H43" s="10">
        <v>23555</v>
      </c>
      <c r="I43" s="10" t="s">
        <v>160</v>
      </c>
      <c r="K43" t="s">
        <v>25</v>
      </c>
      <c r="L43" t="s">
        <v>161</v>
      </c>
      <c r="N43" s="11" t="str">
        <f>Base_CRM[[#This Row],[Cidade]]&amp;"/"&amp;Base_CRM[[#This Row],[Estado]]</f>
        <v>GUARULHOS/</v>
      </c>
      <c r="O43" s="12">
        <f>IFERROR(IF(Base_CRM[[#This Row],[PL Tailor]]&gt;Base_CRM[[#This Row],[PL Declarado]],1,Base_CRM[[#This Row],[PL Tailor]]/Base_CRM[[#This Row],[PL Declarado]]),0)</f>
        <v>0</v>
      </c>
      <c r="P43" s="11" t="str">
        <f>IF(Base_CRM[[#This Row],[Estado Civil]]="","PESSOA JURÍDICA","PESSOA FÍSICA")</f>
        <v>PESSOA FÍSICA</v>
      </c>
      <c r="Q43" t="str">
        <f>_xlfn.XLOOKUP(Base_CRM[[#This Row],[Cód do Cliente]],'[1]F &amp; O'!$A:$A,'[1]F &amp; O'!$F:$F,_xlfn.XLOOKUP(Base_CRM[[#This Row],[Assessor]],[1]DePara!$A:$A,[1]DePara!$D:$D,"Outros",0,1),0,1)</f>
        <v>Legado</v>
      </c>
      <c r="R43" s="11" t="str">
        <f>_xlfn.XLOOKUP(Base_CRM[[#This Row],[Cód do Cliente]],'[1]F &amp; O'!$A:$A,'[1]F &amp; O'!D:D,"Sem Finder",0,1)</f>
        <v>Sem Finder</v>
      </c>
      <c r="S43" s="11" t="str">
        <f>_xlfn.XLOOKUP(Base_CRM[[#This Row],[Cód do Cliente]],'[1]F &amp; O'!$A:$A,'[1]F &amp; O'!E:E,"Sem Canal",0,1)</f>
        <v>Gestora</v>
      </c>
      <c r="T43" s="11" t="str">
        <f t="shared" si="0"/>
        <v>Cliente XP</v>
      </c>
    </row>
    <row r="44" spans="1:20" x14ac:dyDescent="0.3">
      <c r="A44">
        <v>121263</v>
      </c>
      <c r="B44" s="8" t="s">
        <v>162</v>
      </c>
      <c r="C44" s="9" t="s">
        <v>74</v>
      </c>
      <c r="D44" s="8">
        <v>0</v>
      </c>
      <c r="E44">
        <v>600000</v>
      </c>
      <c r="F44" t="s">
        <v>163</v>
      </c>
      <c r="G44" t="s">
        <v>164</v>
      </c>
      <c r="H44" s="10">
        <v>30382</v>
      </c>
      <c r="I44" s="10" t="s">
        <v>31</v>
      </c>
      <c r="K44" t="s">
        <v>68</v>
      </c>
      <c r="L44" t="s">
        <v>165</v>
      </c>
      <c r="N44" s="11" t="str">
        <f>Base_CRM[[#This Row],[Cidade]]&amp;"/"&amp;Base_CRM[[#This Row],[Estado]]</f>
        <v>SAO PAULO/</v>
      </c>
      <c r="O44" s="12">
        <f>IFERROR(IF(Base_CRM[[#This Row],[PL Tailor]]&gt;Base_CRM[[#This Row],[PL Declarado]],1,Base_CRM[[#This Row],[PL Tailor]]/Base_CRM[[#This Row],[PL Declarado]]),0)</f>
        <v>0</v>
      </c>
      <c r="P44" s="11" t="str">
        <f>IF(Base_CRM[[#This Row],[Estado Civil]]="","PESSOA JURÍDICA","PESSOA FÍSICA")</f>
        <v>PESSOA FÍSICA</v>
      </c>
      <c r="Q44" t="str">
        <f>_xlfn.XLOOKUP(Base_CRM[[#This Row],[Cód do Cliente]],'[1]F &amp; O'!$A:$A,'[1]F &amp; O'!$F:$F,_xlfn.XLOOKUP(Base_CRM[[#This Row],[Assessor]],[1]DePara!$A:$A,[1]DePara!$D:$D,"Outros",0,1),0,1)</f>
        <v>Thayane Freitas</v>
      </c>
      <c r="R44" s="11" t="str">
        <f>_xlfn.XLOOKUP(Base_CRM[[#This Row],[Cód do Cliente]],'[1]F &amp; O'!$A:$A,'[1]F &amp; O'!D:D,"Sem Finder",0,1)</f>
        <v>Sem Finder</v>
      </c>
      <c r="S44" s="11" t="str">
        <f>_xlfn.XLOOKUP(Base_CRM[[#This Row],[Cód do Cliente]],'[1]F &amp; O'!$A:$A,'[1]F &amp; O'!E:E,"Sem Canal",0,1)</f>
        <v>Sem Canal</v>
      </c>
      <c r="T44" s="11" t="str">
        <f t="shared" si="0"/>
        <v>Cliente XP</v>
      </c>
    </row>
    <row r="45" spans="1:20" x14ac:dyDescent="0.3">
      <c r="A45">
        <v>121282</v>
      </c>
      <c r="B45" s="8" t="s">
        <v>166</v>
      </c>
      <c r="C45" s="9" t="s">
        <v>74</v>
      </c>
      <c r="D45" s="8">
        <v>0</v>
      </c>
      <c r="E45">
        <v>0</v>
      </c>
      <c r="F45" t="s">
        <v>29</v>
      </c>
      <c r="G45" t="s">
        <v>35</v>
      </c>
      <c r="H45" s="10">
        <v>29703</v>
      </c>
      <c r="I45" s="10" t="s">
        <v>31</v>
      </c>
      <c r="K45" t="s">
        <v>25</v>
      </c>
      <c r="L45" t="s">
        <v>167</v>
      </c>
      <c r="N45" s="11" t="str">
        <f>Base_CRM[[#This Row],[Cidade]]&amp;"/"&amp;Base_CRM[[#This Row],[Estado]]</f>
        <v>SAO PAULO/</v>
      </c>
      <c r="O45" s="12">
        <f>IFERROR(IF(Base_CRM[[#This Row],[PL Tailor]]&gt;Base_CRM[[#This Row],[PL Declarado]],1,Base_CRM[[#This Row],[PL Tailor]]/Base_CRM[[#This Row],[PL Declarado]]),0)</f>
        <v>0</v>
      </c>
      <c r="P45" s="11" t="str">
        <f>IF(Base_CRM[[#This Row],[Estado Civil]]="","PESSOA JURÍDICA","PESSOA FÍSICA")</f>
        <v>PESSOA FÍSICA</v>
      </c>
      <c r="Q45" t="str">
        <f>_xlfn.XLOOKUP(Base_CRM[[#This Row],[Cód do Cliente]],'[1]F &amp; O'!$A:$A,'[1]F &amp; O'!$F:$F,_xlfn.XLOOKUP(Base_CRM[[#This Row],[Assessor]],[1]DePara!$A:$A,[1]DePara!$D:$D,"Outros",0,1),0,1)</f>
        <v>Legado</v>
      </c>
      <c r="R45" s="11" t="str">
        <f>_xlfn.XLOOKUP(Base_CRM[[#This Row],[Cód do Cliente]],'[1]F &amp; O'!$A:$A,'[1]F &amp; O'!D:D,"Sem Finder",0,1)</f>
        <v>Sem Finder</v>
      </c>
      <c r="S45" s="11" t="str">
        <f>_xlfn.XLOOKUP(Base_CRM[[#This Row],[Cód do Cliente]],'[1]F &amp; O'!$A:$A,'[1]F &amp; O'!E:E,"Sem Canal",0,1)</f>
        <v>Gestora</v>
      </c>
      <c r="T45" s="11" t="str">
        <f t="shared" si="0"/>
        <v>Cliente XP</v>
      </c>
    </row>
    <row r="46" spans="1:20" x14ac:dyDescent="0.3">
      <c r="A46">
        <v>121343</v>
      </c>
      <c r="B46" s="8" t="s">
        <v>168</v>
      </c>
      <c r="C46" s="9" t="s">
        <v>74</v>
      </c>
      <c r="D46" s="8">
        <v>0</v>
      </c>
      <c r="E46">
        <v>0</v>
      </c>
      <c r="F46" t="s">
        <v>29</v>
      </c>
      <c r="G46" t="s">
        <v>169</v>
      </c>
      <c r="H46" s="10">
        <v>34436</v>
      </c>
      <c r="I46" s="10" t="s">
        <v>31</v>
      </c>
      <c r="K46" t="s">
        <v>25</v>
      </c>
      <c r="L46" t="s">
        <v>170</v>
      </c>
      <c r="N46" s="11" t="str">
        <f>Base_CRM[[#This Row],[Cidade]]&amp;"/"&amp;Base_CRM[[#This Row],[Estado]]</f>
        <v>SAO PAULO/</v>
      </c>
      <c r="O46" s="12">
        <f>IFERROR(IF(Base_CRM[[#This Row],[PL Tailor]]&gt;Base_CRM[[#This Row],[PL Declarado]],1,Base_CRM[[#This Row],[PL Tailor]]/Base_CRM[[#This Row],[PL Declarado]]),0)</f>
        <v>0</v>
      </c>
      <c r="P46" s="11" t="str">
        <f>IF(Base_CRM[[#This Row],[Estado Civil]]="","PESSOA JURÍDICA","PESSOA FÍSICA")</f>
        <v>PESSOA FÍSICA</v>
      </c>
      <c r="Q46" t="str">
        <f>_xlfn.XLOOKUP(Base_CRM[[#This Row],[Cód do Cliente]],'[1]F &amp; O'!$A:$A,'[1]F &amp; O'!$F:$F,_xlfn.XLOOKUP(Base_CRM[[#This Row],[Assessor]],[1]DePara!$A:$A,[1]DePara!$D:$D,"Outros",0,1),0,1)</f>
        <v>Legado</v>
      </c>
      <c r="R46" s="11" t="str">
        <f>_xlfn.XLOOKUP(Base_CRM[[#This Row],[Cód do Cliente]],'[1]F &amp; O'!$A:$A,'[1]F &amp; O'!D:D,"Sem Finder",0,1)</f>
        <v>Sem Finder</v>
      </c>
      <c r="S46" s="11" t="str">
        <f>_xlfn.XLOOKUP(Base_CRM[[#This Row],[Cód do Cliente]],'[1]F &amp; O'!$A:$A,'[1]F &amp; O'!E:E,"Sem Canal",0,1)</f>
        <v>Gestora</v>
      </c>
      <c r="T46" s="11" t="str">
        <f t="shared" si="0"/>
        <v>Cliente XP</v>
      </c>
    </row>
    <row r="47" spans="1:20" x14ac:dyDescent="0.3">
      <c r="A47">
        <v>121355</v>
      </c>
      <c r="B47" s="8" t="s">
        <v>171</v>
      </c>
      <c r="C47" s="9" t="s">
        <v>74</v>
      </c>
      <c r="D47" s="8">
        <v>0</v>
      </c>
      <c r="E47">
        <v>0</v>
      </c>
      <c r="F47" t="s">
        <v>22</v>
      </c>
      <c r="G47" t="s">
        <v>35</v>
      </c>
      <c r="H47" s="10">
        <v>23517</v>
      </c>
      <c r="I47" s="10" t="s">
        <v>31</v>
      </c>
      <c r="K47" t="s">
        <v>42</v>
      </c>
      <c r="L47" t="s">
        <v>172</v>
      </c>
      <c r="N47" s="11" t="str">
        <f>Base_CRM[[#This Row],[Cidade]]&amp;"/"&amp;Base_CRM[[#This Row],[Estado]]</f>
        <v>SAO PAULO/</v>
      </c>
      <c r="O47" s="12">
        <f>IFERROR(IF(Base_CRM[[#This Row],[PL Tailor]]&gt;Base_CRM[[#This Row],[PL Declarado]],1,Base_CRM[[#This Row],[PL Tailor]]/Base_CRM[[#This Row],[PL Declarado]]),0)</f>
        <v>0</v>
      </c>
      <c r="P47" s="11" t="str">
        <f>IF(Base_CRM[[#This Row],[Estado Civil]]="","PESSOA JURÍDICA","PESSOA FÍSICA")</f>
        <v>PESSOA FÍSICA</v>
      </c>
      <c r="Q47" t="str">
        <f>_xlfn.XLOOKUP(Base_CRM[[#This Row],[Cód do Cliente]],'[1]F &amp; O'!$A:$A,'[1]F &amp; O'!$F:$F,_xlfn.XLOOKUP(Base_CRM[[#This Row],[Assessor]],[1]DePara!$A:$A,[1]DePara!$D:$D,"Outros",0,1),0,1)</f>
        <v>Legado</v>
      </c>
      <c r="R47" s="11" t="str">
        <f>_xlfn.XLOOKUP(Base_CRM[[#This Row],[Cód do Cliente]],'[1]F &amp; O'!$A:$A,'[1]F &amp; O'!D:D,"Sem Finder",0,1)</f>
        <v>Sem Finder</v>
      </c>
      <c r="S47" s="11" t="str">
        <f>_xlfn.XLOOKUP(Base_CRM[[#This Row],[Cód do Cliente]],'[1]F &amp; O'!$A:$A,'[1]F &amp; O'!E:E,"Sem Canal",0,1)</f>
        <v>Gestora</v>
      </c>
      <c r="T47" s="11" t="str">
        <f t="shared" si="0"/>
        <v>Cliente XP</v>
      </c>
    </row>
    <row r="48" spans="1:20" x14ac:dyDescent="0.3">
      <c r="A48">
        <v>121356</v>
      </c>
      <c r="B48" s="8" t="s">
        <v>173</v>
      </c>
      <c r="C48" s="9" t="s">
        <v>74</v>
      </c>
      <c r="D48" s="8">
        <v>0</v>
      </c>
      <c r="E48">
        <v>0</v>
      </c>
      <c r="F48" t="s">
        <v>22</v>
      </c>
      <c r="G48" t="s">
        <v>35</v>
      </c>
      <c r="H48" s="10">
        <v>32856</v>
      </c>
      <c r="I48" s="10" t="s">
        <v>174</v>
      </c>
      <c r="K48" t="s">
        <v>25</v>
      </c>
      <c r="L48" t="s">
        <v>175</v>
      </c>
      <c r="N48" s="11" t="str">
        <f>Base_CRM[[#This Row],[Cidade]]&amp;"/"&amp;Base_CRM[[#This Row],[Estado]]</f>
        <v>ITAPECERICA DA SERRA/</v>
      </c>
      <c r="O48" s="12">
        <f>IFERROR(IF(Base_CRM[[#This Row],[PL Tailor]]&gt;Base_CRM[[#This Row],[PL Declarado]],1,Base_CRM[[#This Row],[PL Tailor]]/Base_CRM[[#This Row],[PL Declarado]]),0)</f>
        <v>0</v>
      </c>
      <c r="P48" s="11" t="str">
        <f>IF(Base_CRM[[#This Row],[Estado Civil]]="","PESSOA JURÍDICA","PESSOA FÍSICA")</f>
        <v>PESSOA FÍSICA</v>
      </c>
      <c r="Q48" t="str">
        <f>_xlfn.XLOOKUP(Base_CRM[[#This Row],[Cód do Cliente]],'[1]F &amp; O'!$A:$A,'[1]F &amp; O'!$F:$F,_xlfn.XLOOKUP(Base_CRM[[#This Row],[Assessor]],[1]DePara!$A:$A,[1]DePara!$D:$D,"Outros",0,1),0,1)</f>
        <v>Legado</v>
      </c>
      <c r="R48" s="11" t="str">
        <f>_xlfn.XLOOKUP(Base_CRM[[#This Row],[Cód do Cliente]],'[1]F &amp; O'!$A:$A,'[1]F &amp; O'!D:D,"Sem Finder",0,1)</f>
        <v>Sem Finder</v>
      </c>
      <c r="S48" s="11" t="str">
        <f>_xlfn.XLOOKUP(Base_CRM[[#This Row],[Cód do Cliente]],'[1]F &amp; O'!$A:$A,'[1]F &amp; O'!E:E,"Sem Canal",0,1)</f>
        <v>Gestora</v>
      </c>
      <c r="T48" s="11" t="str">
        <f t="shared" si="0"/>
        <v>Cliente XP</v>
      </c>
    </row>
    <row r="49" spans="1:20" x14ac:dyDescent="0.3">
      <c r="A49">
        <v>121360</v>
      </c>
      <c r="B49" s="8" t="s">
        <v>176</v>
      </c>
      <c r="C49" s="9" t="s">
        <v>74</v>
      </c>
      <c r="D49" s="8">
        <v>0</v>
      </c>
      <c r="E49">
        <v>500000</v>
      </c>
      <c r="F49" t="s">
        <v>163</v>
      </c>
      <c r="G49" t="s">
        <v>177</v>
      </c>
      <c r="H49" s="10">
        <v>33352</v>
      </c>
      <c r="I49" s="10" t="s">
        <v>178</v>
      </c>
      <c r="K49" t="s">
        <v>42</v>
      </c>
      <c r="L49" t="s">
        <v>179</v>
      </c>
      <c r="N49" s="11" t="str">
        <f>Base_CRM[[#This Row],[Cidade]]&amp;"/"&amp;Base_CRM[[#This Row],[Estado]]</f>
        <v>SAO CAETANO DO SUL/</v>
      </c>
      <c r="O49" s="12">
        <f>IFERROR(IF(Base_CRM[[#This Row],[PL Tailor]]&gt;Base_CRM[[#This Row],[PL Declarado]],1,Base_CRM[[#This Row],[PL Tailor]]/Base_CRM[[#This Row],[PL Declarado]]),0)</f>
        <v>0</v>
      </c>
      <c r="P49" s="11" t="str">
        <f>IF(Base_CRM[[#This Row],[Estado Civil]]="","PESSOA JURÍDICA","PESSOA FÍSICA")</f>
        <v>PESSOA FÍSICA</v>
      </c>
      <c r="Q49" t="str">
        <f>_xlfn.XLOOKUP(Base_CRM[[#This Row],[Cód do Cliente]],'[1]F &amp; O'!$A:$A,'[1]F &amp; O'!$F:$F,_xlfn.XLOOKUP(Base_CRM[[#This Row],[Assessor]],[1]DePara!$A:$A,[1]DePara!$D:$D,"Outros",0,1),0,1)</f>
        <v>Thayane Freitas</v>
      </c>
      <c r="R49" s="11" t="str">
        <f>_xlfn.XLOOKUP(Base_CRM[[#This Row],[Cód do Cliente]],'[1]F &amp; O'!$A:$A,'[1]F &amp; O'!D:D,"Sem Finder",0,1)</f>
        <v>Sem Finder</v>
      </c>
      <c r="S49" s="11" t="str">
        <f>_xlfn.XLOOKUP(Base_CRM[[#This Row],[Cód do Cliente]],'[1]F &amp; O'!$A:$A,'[1]F &amp; O'!E:E,"Sem Canal",0,1)</f>
        <v>Sem Canal</v>
      </c>
      <c r="T49" s="11" t="str">
        <f t="shared" si="0"/>
        <v>Cliente XP</v>
      </c>
    </row>
    <row r="50" spans="1:20" x14ac:dyDescent="0.3">
      <c r="A50">
        <v>121397</v>
      </c>
      <c r="B50" s="8" t="s">
        <v>180</v>
      </c>
      <c r="C50" s="9" t="s">
        <v>74</v>
      </c>
      <c r="D50" s="8">
        <v>0</v>
      </c>
      <c r="E50">
        <v>50000</v>
      </c>
      <c r="F50" t="s">
        <v>22</v>
      </c>
      <c r="G50" t="s">
        <v>181</v>
      </c>
      <c r="H50" s="10">
        <v>25533</v>
      </c>
      <c r="I50" s="10" t="s">
        <v>31</v>
      </c>
      <c r="K50" t="s">
        <v>25</v>
      </c>
      <c r="L50" t="s">
        <v>182</v>
      </c>
      <c r="N50" s="11" t="str">
        <f>Base_CRM[[#This Row],[Cidade]]&amp;"/"&amp;Base_CRM[[#This Row],[Estado]]</f>
        <v>SAO PAULO/</v>
      </c>
      <c r="O50" s="12">
        <f>IFERROR(IF(Base_CRM[[#This Row],[PL Tailor]]&gt;Base_CRM[[#This Row],[PL Declarado]],1,Base_CRM[[#This Row],[PL Tailor]]/Base_CRM[[#This Row],[PL Declarado]]),0)</f>
        <v>0</v>
      </c>
      <c r="P50" s="11" t="str">
        <f>IF(Base_CRM[[#This Row],[Estado Civil]]="","PESSOA JURÍDICA","PESSOA FÍSICA")</f>
        <v>PESSOA FÍSICA</v>
      </c>
      <c r="Q50" t="str">
        <f>_xlfn.XLOOKUP(Base_CRM[[#This Row],[Cód do Cliente]],'[1]F &amp; O'!$A:$A,'[1]F &amp; O'!$F:$F,_xlfn.XLOOKUP(Base_CRM[[#This Row],[Assessor]],[1]DePara!$A:$A,[1]DePara!$D:$D,"Outros",0,1),0,1)</f>
        <v>Legado</v>
      </c>
      <c r="R50" s="11" t="str">
        <f>_xlfn.XLOOKUP(Base_CRM[[#This Row],[Cód do Cliente]],'[1]F &amp; O'!$A:$A,'[1]F &amp; O'!D:D,"Sem Finder",0,1)</f>
        <v>Sem Finder</v>
      </c>
      <c r="S50" s="11" t="str">
        <f>_xlfn.XLOOKUP(Base_CRM[[#This Row],[Cód do Cliente]],'[1]F &amp; O'!$A:$A,'[1]F &amp; O'!E:E,"Sem Canal",0,1)</f>
        <v>Gestora</v>
      </c>
      <c r="T50" s="11" t="str">
        <f t="shared" si="0"/>
        <v>Cliente XP</v>
      </c>
    </row>
    <row r="51" spans="1:20" x14ac:dyDescent="0.3">
      <c r="A51">
        <v>121419</v>
      </c>
      <c r="B51" s="8" t="s">
        <v>183</v>
      </c>
      <c r="C51" s="9" t="s">
        <v>74</v>
      </c>
      <c r="D51" s="8">
        <v>0</v>
      </c>
      <c r="E51">
        <v>0</v>
      </c>
      <c r="F51" t="s">
        <v>29</v>
      </c>
      <c r="G51" t="s">
        <v>35</v>
      </c>
      <c r="H51" s="10">
        <v>22576</v>
      </c>
      <c r="I51" s="10" t="s">
        <v>184</v>
      </c>
      <c r="K51" t="s">
        <v>25</v>
      </c>
      <c r="L51" t="s">
        <v>185</v>
      </c>
      <c r="N51" s="11" t="str">
        <f>Base_CRM[[#This Row],[Cidade]]&amp;"/"&amp;Base_CRM[[#This Row],[Estado]]</f>
        <v>SAO CARLOS/</v>
      </c>
      <c r="O51" s="12">
        <f>IFERROR(IF(Base_CRM[[#This Row],[PL Tailor]]&gt;Base_CRM[[#This Row],[PL Declarado]],1,Base_CRM[[#This Row],[PL Tailor]]/Base_CRM[[#This Row],[PL Declarado]]),0)</f>
        <v>0</v>
      </c>
      <c r="P51" s="11" t="str">
        <f>IF(Base_CRM[[#This Row],[Estado Civil]]="","PESSOA JURÍDICA","PESSOA FÍSICA")</f>
        <v>PESSOA FÍSICA</v>
      </c>
      <c r="Q51" t="str">
        <f>_xlfn.XLOOKUP(Base_CRM[[#This Row],[Cód do Cliente]],'[1]F &amp; O'!$A:$A,'[1]F &amp; O'!$F:$F,_xlfn.XLOOKUP(Base_CRM[[#This Row],[Assessor]],[1]DePara!$A:$A,[1]DePara!$D:$D,"Outros",0,1),0,1)</f>
        <v>Legado</v>
      </c>
      <c r="R51" s="11" t="str">
        <f>_xlfn.XLOOKUP(Base_CRM[[#This Row],[Cód do Cliente]],'[1]F &amp; O'!$A:$A,'[1]F &amp; O'!D:D,"Sem Finder",0,1)</f>
        <v>Sem Finder</v>
      </c>
      <c r="S51" s="11" t="str">
        <f>_xlfn.XLOOKUP(Base_CRM[[#This Row],[Cód do Cliente]],'[1]F &amp; O'!$A:$A,'[1]F &amp; O'!E:E,"Sem Canal",0,1)</f>
        <v>Gestora</v>
      </c>
      <c r="T51" s="11" t="str">
        <f t="shared" si="0"/>
        <v>Cliente XP</v>
      </c>
    </row>
    <row r="52" spans="1:20" x14ac:dyDescent="0.3">
      <c r="A52">
        <v>121490</v>
      </c>
      <c r="B52" s="8" t="s">
        <v>186</v>
      </c>
      <c r="C52" s="9" t="s">
        <v>74</v>
      </c>
      <c r="D52" s="8">
        <v>0</v>
      </c>
      <c r="E52">
        <v>0</v>
      </c>
      <c r="F52" t="s">
        <v>29</v>
      </c>
      <c r="G52" t="s">
        <v>35</v>
      </c>
      <c r="H52" s="10">
        <v>22497</v>
      </c>
      <c r="I52" s="10" t="s">
        <v>31</v>
      </c>
      <c r="K52" t="s">
        <v>25</v>
      </c>
      <c r="L52" t="s">
        <v>187</v>
      </c>
      <c r="N52" s="11" t="str">
        <f>Base_CRM[[#This Row],[Cidade]]&amp;"/"&amp;Base_CRM[[#This Row],[Estado]]</f>
        <v>SAO PAULO/</v>
      </c>
      <c r="O52" s="12">
        <f>IFERROR(IF(Base_CRM[[#This Row],[PL Tailor]]&gt;Base_CRM[[#This Row],[PL Declarado]],1,Base_CRM[[#This Row],[PL Tailor]]/Base_CRM[[#This Row],[PL Declarado]]),0)</f>
        <v>0</v>
      </c>
      <c r="P52" s="11" t="str">
        <f>IF(Base_CRM[[#This Row],[Estado Civil]]="","PESSOA JURÍDICA","PESSOA FÍSICA")</f>
        <v>PESSOA FÍSICA</v>
      </c>
      <c r="Q52" t="str">
        <f>_xlfn.XLOOKUP(Base_CRM[[#This Row],[Cód do Cliente]],'[1]F &amp; O'!$A:$A,'[1]F &amp; O'!$F:$F,_xlfn.XLOOKUP(Base_CRM[[#This Row],[Assessor]],[1]DePara!$A:$A,[1]DePara!$D:$D,"Outros",0,1),0,1)</f>
        <v>Legado</v>
      </c>
      <c r="R52" s="11" t="str">
        <f>_xlfn.XLOOKUP(Base_CRM[[#This Row],[Cód do Cliente]],'[1]F &amp; O'!$A:$A,'[1]F &amp; O'!D:D,"Sem Finder",0,1)</f>
        <v>Sem Finder</v>
      </c>
      <c r="S52" s="11" t="str">
        <f>_xlfn.XLOOKUP(Base_CRM[[#This Row],[Cód do Cliente]],'[1]F &amp; O'!$A:$A,'[1]F &amp; O'!E:E,"Sem Canal",0,1)</f>
        <v>Gestora</v>
      </c>
      <c r="T52" s="11" t="str">
        <f t="shared" si="0"/>
        <v>Cliente XP</v>
      </c>
    </row>
    <row r="53" spans="1:20" x14ac:dyDescent="0.3">
      <c r="A53">
        <v>121505</v>
      </c>
      <c r="B53" s="8" t="s">
        <v>188</v>
      </c>
      <c r="C53" s="9" t="s">
        <v>74</v>
      </c>
      <c r="D53" s="8">
        <v>0</v>
      </c>
      <c r="E53">
        <v>0</v>
      </c>
      <c r="F53" t="s">
        <v>92</v>
      </c>
      <c r="G53" t="s">
        <v>35</v>
      </c>
      <c r="H53" s="10">
        <v>30753</v>
      </c>
      <c r="I53" s="10" t="s">
        <v>189</v>
      </c>
      <c r="K53" t="s">
        <v>42</v>
      </c>
      <c r="L53" t="s">
        <v>190</v>
      </c>
      <c r="N53" s="11" t="str">
        <f>Base_CRM[[#This Row],[Cidade]]&amp;"/"&amp;Base_CRM[[#This Row],[Estado]]</f>
        <v>SOROCABA/</v>
      </c>
      <c r="O53" s="12">
        <f>IFERROR(IF(Base_CRM[[#This Row],[PL Tailor]]&gt;Base_CRM[[#This Row],[PL Declarado]],1,Base_CRM[[#This Row],[PL Tailor]]/Base_CRM[[#This Row],[PL Declarado]]),0)</f>
        <v>0</v>
      </c>
      <c r="P53" s="11" t="str">
        <f>IF(Base_CRM[[#This Row],[Estado Civil]]="","PESSOA JURÍDICA","PESSOA FÍSICA")</f>
        <v>PESSOA FÍSICA</v>
      </c>
      <c r="Q53" t="str">
        <f>_xlfn.XLOOKUP(Base_CRM[[#This Row],[Cód do Cliente]],'[1]F &amp; O'!$A:$A,'[1]F &amp; O'!$F:$F,_xlfn.XLOOKUP(Base_CRM[[#This Row],[Assessor]],[1]DePara!$A:$A,[1]DePara!$D:$D,"Outros",0,1),0,1)</f>
        <v>Legado</v>
      </c>
      <c r="R53" s="11" t="str">
        <f>_xlfn.XLOOKUP(Base_CRM[[#This Row],[Cód do Cliente]],'[1]F &amp; O'!$A:$A,'[1]F &amp; O'!D:D,"Sem Finder",0,1)</f>
        <v>Sem Finder</v>
      </c>
      <c r="S53" s="11" t="str">
        <f>_xlfn.XLOOKUP(Base_CRM[[#This Row],[Cód do Cliente]],'[1]F &amp; O'!$A:$A,'[1]F &amp; O'!E:E,"Sem Canal",0,1)</f>
        <v>Gestora</v>
      </c>
      <c r="T53" s="11" t="str">
        <f t="shared" si="0"/>
        <v>Cliente XP</v>
      </c>
    </row>
    <row r="54" spans="1:20" x14ac:dyDescent="0.3">
      <c r="A54">
        <v>121519</v>
      </c>
      <c r="B54" s="8" t="s">
        <v>191</v>
      </c>
      <c r="C54" s="9" t="s">
        <v>74</v>
      </c>
      <c r="D54" s="8">
        <v>0</v>
      </c>
      <c r="E54">
        <v>0</v>
      </c>
      <c r="F54" t="s">
        <v>29</v>
      </c>
      <c r="G54" t="s">
        <v>35</v>
      </c>
      <c r="H54" s="10">
        <v>27769</v>
      </c>
      <c r="I54" s="10" t="s">
        <v>192</v>
      </c>
      <c r="K54" t="s">
        <v>42</v>
      </c>
      <c r="L54" t="s">
        <v>193</v>
      </c>
      <c r="N54" s="11" t="str">
        <f>Base_CRM[[#This Row],[Cidade]]&amp;"/"&amp;Base_CRM[[#This Row],[Estado]]</f>
        <v>FORTALEZA/</v>
      </c>
      <c r="O54" s="12">
        <f>IFERROR(IF(Base_CRM[[#This Row],[PL Tailor]]&gt;Base_CRM[[#This Row],[PL Declarado]],1,Base_CRM[[#This Row],[PL Tailor]]/Base_CRM[[#This Row],[PL Declarado]]),0)</f>
        <v>0</v>
      </c>
      <c r="P54" s="11" t="str">
        <f>IF(Base_CRM[[#This Row],[Estado Civil]]="","PESSOA JURÍDICA","PESSOA FÍSICA")</f>
        <v>PESSOA FÍSICA</v>
      </c>
      <c r="Q54" t="str">
        <f>_xlfn.XLOOKUP(Base_CRM[[#This Row],[Cód do Cliente]],'[1]F &amp; O'!$A:$A,'[1]F &amp; O'!$F:$F,_xlfn.XLOOKUP(Base_CRM[[#This Row],[Assessor]],[1]DePara!$A:$A,[1]DePara!$D:$D,"Outros",0,1),0,1)</f>
        <v>Legado</v>
      </c>
      <c r="R54" s="11" t="str">
        <f>_xlfn.XLOOKUP(Base_CRM[[#This Row],[Cód do Cliente]],'[1]F &amp; O'!$A:$A,'[1]F &amp; O'!D:D,"Sem Finder",0,1)</f>
        <v>Sem Finder</v>
      </c>
      <c r="S54" s="11" t="str">
        <f>_xlfn.XLOOKUP(Base_CRM[[#This Row],[Cód do Cliente]],'[1]F &amp; O'!$A:$A,'[1]F &amp; O'!E:E,"Sem Canal",0,1)</f>
        <v>Gestora</v>
      </c>
      <c r="T54" s="11" t="str">
        <f t="shared" si="0"/>
        <v>Cliente XP</v>
      </c>
    </row>
    <row r="55" spans="1:20" x14ac:dyDescent="0.3">
      <c r="A55">
        <v>121522</v>
      </c>
      <c r="B55" s="8" t="s">
        <v>194</v>
      </c>
      <c r="C55" s="9" t="s">
        <v>74</v>
      </c>
      <c r="D55" s="8">
        <v>0</v>
      </c>
      <c r="E55">
        <v>0</v>
      </c>
      <c r="F55" t="s">
        <v>29</v>
      </c>
      <c r="G55" t="s">
        <v>35</v>
      </c>
      <c r="H55" s="10">
        <v>32038</v>
      </c>
      <c r="I55" s="10" t="s">
        <v>195</v>
      </c>
      <c r="K55" t="s">
        <v>25</v>
      </c>
      <c r="L55" t="s">
        <v>196</v>
      </c>
      <c r="N55" s="11" t="str">
        <f>Base_CRM[[#This Row],[Cidade]]&amp;"/"&amp;Base_CRM[[#This Row],[Estado]]</f>
        <v>CAJAMAR/</v>
      </c>
      <c r="O55" s="12">
        <f>IFERROR(IF(Base_CRM[[#This Row],[PL Tailor]]&gt;Base_CRM[[#This Row],[PL Declarado]],1,Base_CRM[[#This Row],[PL Tailor]]/Base_CRM[[#This Row],[PL Declarado]]),0)</f>
        <v>0</v>
      </c>
      <c r="P55" s="11" t="str">
        <f>IF(Base_CRM[[#This Row],[Estado Civil]]="","PESSOA JURÍDICA","PESSOA FÍSICA")</f>
        <v>PESSOA FÍSICA</v>
      </c>
      <c r="Q55" t="str">
        <f>_xlfn.XLOOKUP(Base_CRM[[#This Row],[Cód do Cliente]],'[1]F &amp; O'!$A:$A,'[1]F &amp; O'!$F:$F,_xlfn.XLOOKUP(Base_CRM[[#This Row],[Assessor]],[1]DePara!$A:$A,[1]DePara!$D:$D,"Outros",0,1),0,1)</f>
        <v>Legado</v>
      </c>
      <c r="R55" s="11" t="str">
        <f>_xlfn.XLOOKUP(Base_CRM[[#This Row],[Cód do Cliente]],'[1]F &amp; O'!$A:$A,'[1]F &amp; O'!D:D,"Sem Finder",0,1)</f>
        <v>Sem Finder</v>
      </c>
      <c r="S55" s="11" t="str">
        <f>_xlfn.XLOOKUP(Base_CRM[[#This Row],[Cód do Cliente]],'[1]F &amp; O'!$A:$A,'[1]F &amp; O'!E:E,"Sem Canal",0,1)</f>
        <v>Gestora</v>
      </c>
      <c r="T55" s="11" t="str">
        <f t="shared" si="0"/>
        <v>Cliente XP</v>
      </c>
    </row>
    <row r="56" spans="1:20" x14ac:dyDescent="0.3">
      <c r="A56">
        <v>121552</v>
      </c>
      <c r="B56" s="8" t="s">
        <v>197</v>
      </c>
      <c r="C56" s="9" t="s">
        <v>74</v>
      </c>
      <c r="D56" s="8">
        <v>0</v>
      </c>
      <c r="E56">
        <v>0</v>
      </c>
      <c r="F56" t="s">
        <v>29</v>
      </c>
      <c r="G56" t="s">
        <v>35</v>
      </c>
      <c r="H56" s="10">
        <v>30654</v>
      </c>
      <c r="I56" s="10" t="s">
        <v>160</v>
      </c>
      <c r="K56" t="s">
        <v>42</v>
      </c>
      <c r="L56" t="s">
        <v>198</v>
      </c>
      <c r="N56" s="11" t="str">
        <f>Base_CRM[[#This Row],[Cidade]]&amp;"/"&amp;Base_CRM[[#This Row],[Estado]]</f>
        <v>GUARULHOS/</v>
      </c>
      <c r="O56" s="12">
        <f>IFERROR(IF(Base_CRM[[#This Row],[PL Tailor]]&gt;Base_CRM[[#This Row],[PL Declarado]],1,Base_CRM[[#This Row],[PL Tailor]]/Base_CRM[[#This Row],[PL Declarado]]),0)</f>
        <v>0</v>
      </c>
      <c r="P56" s="11" t="str">
        <f>IF(Base_CRM[[#This Row],[Estado Civil]]="","PESSOA JURÍDICA","PESSOA FÍSICA")</f>
        <v>PESSOA FÍSICA</v>
      </c>
      <c r="Q56" t="str">
        <f>_xlfn.XLOOKUP(Base_CRM[[#This Row],[Cód do Cliente]],'[1]F &amp; O'!$A:$A,'[1]F &amp; O'!$F:$F,_xlfn.XLOOKUP(Base_CRM[[#This Row],[Assessor]],[1]DePara!$A:$A,[1]DePara!$D:$D,"Outros",0,1),0,1)</f>
        <v>Legado</v>
      </c>
      <c r="R56" s="11" t="str">
        <f>_xlfn.XLOOKUP(Base_CRM[[#This Row],[Cód do Cliente]],'[1]F &amp; O'!$A:$A,'[1]F &amp; O'!D:D,"Sem Finder",0,1)</f>
        <v>Sem Finder</v>
      </c>
      <c r="S56" s="11" t="str">
        <f>_xlfn.XLOOKUP(Base_CRM[[#This Row],[Cód do Cliente]],'[1]F &amp; O'!$A:$A,'[1]F &amp; O'!E:E,"Sem Canal",0,1)</f>
        <v>Gestora</v>
      </c>
      <c r="T56" s="11" t="str">
        <f t="shared" si="0"/>
        <v>Cliente XP</v>
      </c>
    </row>
    <row r="57" spans="1:20" x14ac:dyDescent="0.3">
      <c r="A57">
        <v>121556</v>
      </c>
      <c r="B57" s="8" t="s">
        <v>199</v>
      </c>
      <c r="C57" s="9" t="s">
        <v>74</v>
      </c>
      <c r="D57" s="8">
        <v>0</v>
      </c>
      <c r="E57">
        <v>0</v>
      </c>
      <c r="F57" t="s">
        <v>22</v>
      </c>
      <c r="G57" t="s">
        <v>35</v>
      </c>
      <c r="H57" s="10">
        <v>25936</v>
      </c>
      <c r="I57" s="10" t="s">
        <v>200</v>
      </c>
      <c r="K57" t="s">
        <v>25</v>
      </c>
      <c r="L57" t="s">
        <v>201</v>
      </c>
      <c r="N57" s="11" t="str">
        <f>Base_CRM[[#This Row],[Cidade]]&amp;"/"&amp;Base_CRM[[#This Row],[Estado]]</f>
        <v>CACOAL/</v>
      </c>
      <c r="O57" s="12">
        <f>IFERROR(IF(Base_CRM[[#This Row],[PL Tailor]]&gt;Base_CRM[[#This Row],[PL Declarado]],1,Base_CRM[[#This Row],[PL Tailor]]/Base_CRM[[#This Row],[PL Declarado]]),0)</f>
        <v>0</v>
      </c>
      <c r="P57" s="11" t="str">
        <f>IF(Base_CRM[[#This Row],[Estado Civil]]="","PESSOA JURÍDICA","PESSOA FÍSICA")</f>
        <v>PESSOA FÍSICA</v>
      </c>
      <c r="Q57" t="str">
        <f>_xlfn.XLOOKUP(Base_CRM[[#This Row],[Cód do Cliente]],'[1]F &amp; O'!$A:$A,'[1]F &amp; O'!$F:$F,_xlfn.XLOOKUP(Base_CRM[[#This Row],[Assessor]],[1]DePara!$A:$A,[1]DePara!$D:$D,"Outros",0,1),0,1)</f>
        <v>Legado</v>
      </c>
      <c r="R57" s="11" t="str">
        <f>_xlfn.XLOOKUP(Base_CRM[[#This Row],[Cód do Cliente]],'[1]F &amp; O'!$A:$A,'[1]F &amp; O'!D:D,"Sem Finder",0,1)</f>
        <v>Sem Finder</v>
      </c>
      <c r="S57" s="11" t="str">
        <f>_xlfn.XLOOKUP(Base_CRM[[#This Row],[Cód do Cliente]],'[1]F &amp; O'!$A:$A,'[1]F &amp; O'!E:E,"Sem Canal",0,1)</f>
        <v>Gestora</v>
      </c>
      <c r="T57" s="11" t="str">
        <f t="shared" si="0"/>
        <v>Cliente XP</v>
      </c>
    </row>
    <row r="58" spans="1:20" x14ac:dyDescent="0.3">
      <c r="A58">
        <v>12170946</v>
      </c>
      <c r="B58" s="8" t="s">
        <v>202</v>
      </c>
      <c r="C58" s="9" t="s">
        <v>74</v>
      </c>
      <c r="D58" s="8">
        <v>175317.41</v>
      </c>
      <c r="E58">
        <v>300000</v>
      </c>
      <c r="F58" t="s">
        <v>29</v>
      </c>
      <c r="G58" t="s">
        <v>52</v>
      </c>
      <c r="H58" s="10">
        <v>31820</v>
      </c>
      <c r="I58" s="10" t="s">
        <v>24</v>
      </c>
      <c r="K58" t="s">
        <v>25</v>
      </c>
      <c r="L58" t="s">
        <v>203</v>
      </c>
      <c r="M58" t="s">
        <v>60</v>
      </c>
      <c r="N58" s="11" t="str">
        <f>Base_CRM[[#This Row],[Cidade]]&amp;"/"&amp;Base_CRM[[#This Row],[Estado]]</f>
        <v>RIO DE JANEIRO/</v>
      </c>
      <c r="O58" s="12">
        <f>IFERROR(IF(Base_CRM[[#This Row],[PL Tailor]]&gt;Base_CRM[[#This Row],[PL Declarado]],1,Base_CRM[[#This Row],[PL Tailor]]/Base_CRM[[#This Row],[PL Declarado]]),0)</f>
        <v>0.58439136666666669</v>
      </c>
      <c r="P58" s="11" t="str">
        <f>IF(Base_CRM[[#This Row],[Estado Civil]]="","PESSOA JURÍDICA","PESSOA FÍSICA")</f>
        <v>PESSOA FÍSICA</v>
      </c>
      <c r="Q58" t="str">
        <f>_xlfn.XLOOKUP(Base_CRM[[#This Row],[Cód do Cliente]],'[1]F &amp; O'!$A:$A,'[1]F &amp; O'!$F:$F,_xlfn.XLOOKUP(Base_CRM[[#This Row],[Assessor]],[1]DePara!$A:$A,[1]DePara!$D:$D,"Outros",0,1),0,1)</f>
        <v>Thayane Freitas</v>
      </c>
      <c r="R58" s="11" t="str">
        <f>_xlfn.XLOOKUP(Base_CRM[[#This Row],[Cód do Cliente]],'[1]F &amp; O'!$A:$A,'[1]F &amp; O'!D:D,"Sem Finder",0,1)</f>
        <v>Sem Finder</v>
      </c>
      <c r="S58" s="11" t="str">
        <f>_xlfn.XLOOKUP(Base_CRM[[#This Row],[Cód do Cliente]],'[1]F &amp; O'!$A:$A,'[1]F &amp; O'!E:E,"Sem Canal",0,1)</f>
        <v>Sem Canal</v>
      </c>
      <c r="T58" s="11" t="str">
        <f t="shared" si="0"/>
        <v>Cliente XP</v>
      </c>
    </row>
    <row r="59" spans="1:20" x14ac:dyDescent="0.3">
      <c r="A59">
        <v>12171391</v>
      </c>
      <c r="B59" s="8" t="s">
        <v>204</v>
      </c>
      <c r="C59" s="9" t="s">
        <v>21</v>
      </c>
      <c r="D59" s="8">
        <v>16428.87</v>
      </c>
      <c r="E59">
        <v>2500000</v>
      </c>
      <c r="F59" t="s">
        <v>22</v>
      </c>
      <c r="G59" t="s">
        <v>87</v>
      </c>
      <c r="H59" s="10">
        <v>36374</v>
      </c>
      <c r="I59" s="10" t="s">
        <v>24</v>
      </c>
      <c r="K59" t="s">
        <v>25</v>
      </c>
      <c r="L59" t="s">
        <v>205</v>
      </c>
      <c r="M59" t="s">
        <v>64</v>
      </c>
      <c r="N59" s="11" t="str">
        <f>Base_CRM[[#This Row],[Cidade]]&amp;"/"&amp;Base_CRM[[#This Row],[Estado]]</f>
        <v>RIO DE JANEIRO/</v>
      </c>
      <c r="O59" s="12">
        <f>IFERROR(IF(Base_CRM[[#This Row],[PL Tailor]]&gt;Base_CRM[[#This Row],[PL Declarado]],1,Base_CRM[[#This Row],[PL Tailor]]/Base_CRM[[#This Row],[PL Declarado]]),0)</f>
        <v>6.571548E-3</v>
      </c>
      <c r="P59" s="11" t="str">
        <f>IF(Base_CRM[[#This Row],[Estado Civil]]="","PESSOA JURÍDICA","PESSOA FÍSICA")</f>
        <v>PESSOA FÍSICA</v>
      </c>
      <c r="Q59" t="str">
        <f>_xlfn.XLOOKUP(Base_CRM[[#This Row],[Cód do Cliente]],'[1]F &amp; O'!$A:$A,'[1]F &amp; O'!$F:$F,_xlfn.XLOOKUP(Base_CRM[[#This Row],[Assessor]],[1]DePara!$A:$A,[1]DePara!$D:$D,"Outros",0,1),0,1)</f>
        <v>Leonardo Burle</v>
      </c>
      <c r="R59" s="11" t="str">
        <f>_xlfn.XLOOKUP(Base_CRM[[#This Row],[Cód do Cliente]],'[1]F &amp; O'!$A:$A,'[1]F &amp; O'!D:D,"Sem Finder",0,1)</f>
        <v>Sem Finder</v>
      </c>
      <c r="S59" s="11" t="str">
        <f>_xlfn.XLOOKUP(Base_CRM[[#This Row],[Cód do Cliente]],'[1]F &amp; O'!$A:$A,'[1]F &amp; O'!E:E,"Sem Canal",0,1)</f>
        <v>Sem Canal</v>
      </c>
      <c r="T59" s="11" t="str">
        <f t="shared" si="0"/>
        <v>Cliente XP</v>
      </c>
    </row>
    <row r="60" spans="1:20" x14ac:dyDescent="0.3">
      <c r="A60">
        <v>12180673</v>
      </c>
      <c r="B60" s="8" t="s">
        <v>206</v>
      </c>
      <c r="C60" s="9" t="s">
        <v>103</v>
      </c>
      <c r="D60" s="8">
        <v>0</v>
      </c>
      <c r="E60">
        <v>400000</v>
      </c>
      <c r="F60" t="s">
        <v>22</v>
      </c>
      <c r="G60" t="s">
        <v>207</v>
      </c>
      <c r="H60" s="10">
        <v>33683</v>
      </c>
      <c r="I60" s="10" t="s">
        <v>24</v>
      </c>
      <c r="K60" t="s">
        <v>25</v>
      </c>
      <c r="L60" t="s">
        <v>208</v>
      </c>
      <c r="N60" s="11" t="str">
        <f>Base_CRM[[#This Row],[Cidade]]&amp;"/"&amp;Base_CRM[[#This Row],[Estado]]</f>
        <v>RIO DE JANEIRO/</v>
      </c>
      <c r="O60" s="12">
        <f>IFERROR(IF(Base_CRM[[#This Row],[PL Tailor]]&gt;Base_CRM[[#This Row],[PL Declarado]],1,Base_CRM[[#This Row],[PL Tailor]]/Base_CRM[[#This Row],[PL Declarado]]),0)</f>
        <v>0</v>
      </c>
      <c r="P60" s="11" t="str">
        <f>IF(Base_CRM[[#This Row],[Estado Civil]]="","PESSOA JURÍDICA","PESSOA FÍSICA")</f>
        <v>PESSOA FÍSICA</v>
      </c>
      <c r="Q60" t="str">
        <f>_xlfn.XLOOKUP(Base_CRM[[#This Row],[Cód do Cliente]],'[1]F &amp; O'!$A:$A,'[1]F &amp; O'!$F:$F,_xlfn.XLOOKUP(Base_CRM[[#This Row],[Assessor]],[1]DePara!$A:$A,[1]DePara!$D:$D,"Outros",0,1),0,1)</f>
        <v>Raphael Pereira</v>
      </c>
      <c r="R60" s="11" t="str">
        <f>_xlfn.XLOOKUP(Base_CRM[[#This Row],[Cód do Cliente]],'[1]F &amp; O'!$A:$A,'[1]F &amp; O'!D:D,"Sem Finder",0,1)</f>
        <v>Sem Finder</v>
      </c>
      <c r="S60" s="11" t="str">
        <f>_xlfn.XLOOKUP(Base_CRM[[#This Row],[Cód do Cliente]],'[1]F &amp; O'!$A:$A,'[1]F &amp; O'!E:E,"Sem Canal",0,1)</f>
        <v>Sem Canal</v>
      </c>
      <c r="T60" s="11" t="str">
        <f t="shared" si="0"/>
        <v>Cliente XP</v>
      </c>
    </row>
    <row r="61" spans="1:20" x14ac:dyDescent="0.3">
      <c r="A61">
        <v>12212674</v>
      </c>
      <c r="B61" s="8" t="s">
        <v>209</v>
      </c>
      <c r="C61" s="9" t="s">
        <v>48</v>
      </c>
      <c r="D61" s="8">
        <v>0</v>
      </c>
      <c r="E61">
        <v>36000</v>
      </c>
      <c r="F61" t="s">
        <v>29</v>
      </c>
      <c r="G61" t="s">
        <v>87</v>
      </c>
      <c r="H61" s="10">
        <v>35225</v>
      </c>
      <c r="I61" s="10" t="s">
        <v>24</v>
      </c>
      <c r="K61" t="s">
        <v>42</v>
      </c>
      <c r="L61" t="s">
        <v>210</v>
      </c>
      <c r="N61" s="11" t="str">
        <f>Base_CRM[[#This Row],[Cidade]]&amp;"/"&amp;Base_CRM[[#This Row],[Estado]]</f>
        <v>RIO DE JANEIRO/</v>
      </c>
      <c r="O61" s="12">
        <f>IFERROR(IF(Base_CRM[[#This Row],[PL Tailor]]&gt;Base_CRM[[#This Row],[PL Declarado]],1,Base_CRM[[#This Row],[PL Tailor]]/Base_CRM[[#This Row],[PL Declarado]]),0)</f>
        <v>0</v>
      </c>
      <c r="P61" s="11" t="str">
        <f>IF(Base_CRM[[#This Row],[Estado Civil]]="","PESSOA JURÍDICA","PESSOA FÍSICA")</f>
        <v>PESSOA FÍSICA</v>
      </c>
      <c r="Q61" t="str">
        <f>_xlfn.XLOOKUP(Base_CRM[[#This Row],[Cód do Cliente]],'[1]F &amp; O'!$A:$A,'[1]F &amp; O'!$F:$F,_xlfn.XLOOKUP(Base_CRM[[#This Row],[Assessor]],[1]DePara!$A:$A,[1]DePara!$D:$D,"Outros",0,1),0,1)</f>
        <v>Raphael Farias</v>
      </c>
      <c r="R61" s="11" t="str">
        <f>_xlfn.XLOOKUP(Base_CRM[[#This Row],[Cód do Cliente]],'[1]F &amp; O'!$A:$A,'[1]F &amp; O'!D:D,"Sem Finder",0,1)</f>
        <v>Sem Finder</v>
      </c>
      <c r="S61" s="11" t="str">
        <f>_xlfn.XLOOKUP(Base_CRM[[#This Row],[Cód do Cliente]],'[1]F &amp; O'!$A:$A,'[1]F &amp; O'!E:E,"Sem Canal",0,1)</f>
        <v>Sem Canal</v>
      </c>
      <c r="T61" s="11" t="str">
        <f t="shared" si="0"/>
        <v>Cliente XP</v>
      </c>
    </row>
    <row r="62" spans="1:20" x14ac:dyDescent="0.3">
      <c r="A62">
        <v>12361913</v>
      </c>
      <c r="B62" s="8" t="s">
        <v>211</v>
      </c>
      <c r="C62" s="9" t="s">
        <v>74</v>
      </c>
      <c r="D62" s="8">
        <v>71082.25</v>
      </c>
      <c r="E62">
        <v>150000</v>
      </c>
      <c r="F62" t="s">
        <v>29</v>
      </c>
      <c r="G62" t="s">
        <v>145</v>
      </c>
      <c r="H62" s="10">
        <v>30827</v>
      </c>
      <c r="I62" s="10" t="s">
        <v>24</v>
      </c>
      <c r="K62" t="s">
        <v>25</v>
      </c>
      <c r="L62" t="s">
        <v>212</v>
      </c>
      <c r="M62" t="s">
        <v>90</v>
      </c>
      <c r="N62" s="11" t="str">
        <f>Base_CRM[[#This Row],[Cidade]]&amp;"/"&amp;Base_CRM[[#This Row],[Estado]]</f>
        <v>RIO DE JANEIRO/</v>
      </c>
      <c r="O62" s="12">
        <f>IFERROR(IF(Base_CRM[[#This Row],[PL Tailor]]&gt;Base_CRM[[#This Row],[PL Declarado]],1,Base_CRM[[#This Row],[PL Tailor]]/Base_CRM[[#This Row],[PL Declarado]]),0)</f>
        <v>0.47388166666666665</v>
      </c>
      <c r="P62" s="11" t="str">
        <f>IF(Base_CRM[[#This Row],[Estado Civil]]="","PESSOA JURÍDICA","PESSOA FÍSICA")</f>
        <v>PESSOA FÍSICA</v>
      </c>
      <c r="Q62" t="str">
        <f>_xlfn.XLOOKUP(Base_CRM[[#This Row],[Cód do Cliente]],'[1]F &amp; O'!$A:$A,'[1]F &amp; O'!$F:$F,_xlfn.XLOOKUP(Base_CRM[[#This Row],[Assessor]],[1]DePara!$A:$A,[1]DePara!$D:$D,"Outros",0,1),0,1)</f>
        <v>Thayane Freitas</v>
      </c>
      <c r="R62" s="11" t="str">
        <f>_xlfn.XLOOKUP(Base_CRM[[#This Row],[Cód do Cliente]],'[1]F &amp; O'!$A:$A,'[1]F &amp; O'!D:D,"Sem Finder",0,1)</f>
        <v>Sem Finder</v>
      </c>
      <c r="S62" s="11" t="str">
        <f>_xlfn.XLOOKUP(Base_CRM[[#This Row],[Cód do Cliente]],'[1]F &amp; O'!$A:$A,'[1]F &amp; O'!E:E,"Sem Canal",0,1)</f>
        <v>Sem Canal</v>
      </c>
      <c r="T62" s="11" t="str">
        <f t="shared" si="0"/>
        <v>Cliente XP</v>
      </c>
    </row>
    <row r="63" spans="1:20" x14ac:dyDescent="0.3">
      <c r="A63">
        <v>12383984</v>
      </c>
      <c r="B63" s="8" t="s">
        <v>213</v>
      </c>
      <c r="C63" s="9" t="s">
        <v>74</v>
      </c>
      <c r="D63" s="8">
        <v>35632.199999999997</v>
      </c>
      <c r="E63">
        <v>51000</v>
      </c>
      <c r="F63" t="s">
        <v>29</v>
      </c>
      <c r="G63" t="s">
        <v>35</v>
      </c>
      <c r="H63" s="10">
        <v>29202</v>
      </c>
      <c r="I63" s="10" t="s">
        <v>58</v>
      </c>
      <c r="K63" t="s">
        <v>42</v>
      </c>
      <c r="L63" t="s">
        <v>214</v>
      </c>
      <c r="M63" t="s">
        <v>60</v>
      </c>
      <c r="N63" s="11" t="str">
        <f>Base_CRM[[#This Row],[Cidade]]&amp;"/"&amp;Base_CRM[[#This Row],[Estado]]</f>
        <v>PIRACICABA/</v>
      </c>
      <c r="O63" s="12">
        <f>IFERROR(IF(Base_CRM[[#This Row],[PL Tailor]]&gt;Base_CRM[[#This Row],[PL Declarado]],1,Base_CRM[[#This Row],[PL Tailor]]/Base_CRM[[#This Row],[PL Declarado]]),0)</f>
        <v>0.69867058823529404</v>
      </c>
      <c r="P63" s="11" t="str">
        <f>IF(Base_CRM[[#This Row],[Estado Civil]]="","PESSOA JURÍDICA","PESSOA FÍSICA")</f>
        <v>PESSOA FÍSICA</v>
      </c>
      <c r="Q63" t="str">
        <f>_xlfn.XLOOKUP(Base_CRM[[#This Row],[Cód do Cliente]],'[1]F &amp; O'!$A:$A,'[1]F &amp; O'!$F:$F,_xlfn.XLOOKUP(Base_CRM[[#This Row],[Assessor]],[1]DePara!$A:$A,[1]DePara!$D:$D,"Outros",0,1),0,1)</f>
        <v>Thayane Freitas</v>
      </c>
      <c r="R63" s="11" t="str">
        <f>_xlfn.XLOOKUP(Base_CRM[[#This Row],[Cód do Cliente]],'[1]F &amp; O'!$A:$A,'[1]F &amp; O'!D:D,"Sem Finder",0,1)</f>
        <v>Sem Finder</v>
      </c>
      <c r="S63" s="11" t="str">
        <f>_xlfn.XLOOKUP(Base_CRM[[#This Row],[Cód do Cliente]],'[1]F &amp; O'!$A:$A,'[1]F &amp; O'!E:E,"Sem Canal",0,1)</f>
        <v>Sem Canal</v>
      </c>
      <c r="T63" s="11" t="str">
        <f t="shared" si="0"/>
        <v>Cliente XP</v>
      </c>
    </row>
    <row r="64" spans="1:20" x14ac:dyDescent="0.3">
      <c r="A64">
        <v>12384325</v>
      </c>
      <c r="B64" s="8" t="s">
        <v>215</v>
      </c>
      <c r="C64" s="9" t="s">
        <v>21</v>
      </c>
      <c r="D64" s="8">
        <v>11584.75</v>
      </c>
      <c r="E64">
        <v>1000</v>
      </c>
      <c r="F64" t="s">
        <v>92</v>
      </c>
      <c r="G64" t="s">
        <v>93</v>
      </c>
      <c r="H64" s="10">
        <v>34326</v>
      </c>
      <c r="I64" s="10" t="s">
        <v>31</v>
      </c>
      <c r="K64" t="s">
        <v>25</v>
      </c>
      <c r="L64" t="s">
        <v>216</v>
      </c>
      <c r="N64" s="11" t="str">
        <f>Base_CRM[[#This Row],[Cidade]]&amp;"/"&amp;Base_CRM[[#This Row],[Estado]]</f>
        <v>SAO PAULO/</v>
      </c>
      <c r="O64" s="12">
        <f>IFERROR(IF(Base_CRM[[#This Row],[PL Tailor]]&gt;Base_CRM[[#This Row],[PL Declarado]],1,Base_CRM[[#This Row],[PL Tailor]]/Base_CRM[[#This Row],[PL Declarado]]),0)</f>
        <v>1</v>
      </c>
      <c r="P64" s="11" t="str">
        <f>IF(Base_CRM[[#This Row],[Estado Civil]]="","PESSOA JURÍDICA","PESSOA FÍSICA")</f>
        <v>PESSOA FÍSICA</v>
      </c>
      <c r="Q64" t="str">
        <f>_xlfn.XLOOKUP(Base_CRM[[#This Row],[Cód do Cliente]],'[1]F &amp; O'!$A:$A,'[1]F &amp; O'!$F:$F,_xlfn.XLOOKUP(Base_CRM[[#This Row],[Assessor]],[1]DePara!$A:$A,[1]DePara!$D:$D,"Outros",0,1),0,1)</f>
        <v>Leonardo Burle</v>
      </c>
      <c r="R64" s="11" t="str">
        <f>_xlfn.XLOOKUP(Base_CRM[[#This Row],[Cód do Cliente]],'[1]F &amp; O'!$A:$A,'[1]F &amp; O'!D:D,"Sem Finder",0,1)</f>
        <v>Sem Finder</v>
      </c>
      <c r="S64" s="11" t="str">
        <f>_xlfn.XLOOKUP(Base_CRM[[#This Row],[Cód do Cliente]],'[1]F &amp; O'!$A:$A,'[1]F &amp; O'!E:E,"Sem Canal",0,1)</f>
        <v>Sem Canal</v>
      </c>
      <c r="T64" s="11" t="str">
        <f t="shared" si="0"/>
        <v>Cliente XP</v>
      </c>
    </row>
    <row r="65" spans="1:20" x14ac:dyDescent="0.3">
      <c r="A65">
        <v>12388300</v>
      </c>
      <c r="B65" s="8" t="s">
        <v>217</v>
      </c>
      <c r="C65" s="9" t="s">
        <v>74</v>
      </c>
      <c r="D65" s="8">
        <v>0</v>
      </c>
      <c r="E65">
        <v>200</v>
      </c>
      <c r="F65" t="s">
        <v>92</v>
      </c>
      <c r="G65" t="s">
        <v>23</v>
      </c>
      <c r="H65" s="10">
        <v>33555</v>
      </c>
      <c r="I65" s="10" t="s">
        <v>218</v>
      </c>
      <c r="K65" t="s">
        <v>25</v>
      </c>
      <c r="L65" t="s">
        <v>219</v>
      </c>
      <c r="N65" s="11" t="str">
        <f>Base_CRM[[#This Row],[Cidade]]&amp;"/"&amp;Base_CRM[[#This Row],[Estado]]</f>
        <v>TABOAO DA SERRA/</v>
      </c>
      <c r="O65" s="12">
        <f>IFERROR(IF(Base_CRM[[#This Row],[PL Tailor]]&gt;Base_CRM[[#This Row],[PL Declarado]],1,Base_CRM[[#This Row],[PL Tailor]]/Base_CRM[[#This Row],[PL Declarado]]),0)</f>
        <v>0</v>
      </c>
      <c r="P65" s="11" t="str">
        <f>IF(Base_CRM[[#This Row],[Estado Civil]]="","PESSOA JURÍDICA","PESSOA FÍSICA")</f>
        <v>PESSOA FÍSICA</v>
      </c>
      <c r="Q65" t="str">
        <f>_xlfn.XLOOKUP(Base_CRM[[#This Row],[Cód do Cliente]],'[1]F &amp; O'!$A:$A,'[1]F &amp; O'!$F:$F,_xlfn.XLOOKUP(Base_CRM[[#This Row],[Assessor]],[1]DePara!$A:$A,[1]DePara!$D:$D,"Outros",0,1),0,1)</f>
        <v>Thayane Freitas</v>
      </c>
      <c r="R65" s="11" t="str">
        <f>_xlfn.XLOOKUP(Base_CRM[[#This Row],[Cód do Cliente]],'[1]F &amp; O'!$A:$A,'[1]F &amp; O'!D:D,"Sem Finder",0,1)</f>
        <v>Sem Finder</v>
      </c>
      <c r="S65" s="11" t="str">
        <f>_xlfn.XLOOKUP(Base_CRM[[#This Row],[Cód do Cliente]],'[1]F &amp; O'!$A:$A,'[1]F &amp; O'!E:E,"Sem Canal",0,1)</f>
        <v>Sem Canal</v>
      </c>
      <c r="T65" s="11" t="str">
        <f t="shared" si="0"/>
        <v>Cliente XP</v>
      </c>
    </row>
    <row r="66" spans="1:20" x14ac:dyDescent="0.3">
      <c r="A66">
        <v>12398327</v>
      </c>
      <c r="B66" s="8" t="s">
        <v>220</v>
      </c>
      <c r="C66" s="9" t="s">
        <v>21</v>
      </c>
      <c r="D66" s="8">
        <v>8750.4699999999993</v>
      </c>
      <c r="E66">
        <v>1</v>
      </c>
      <c r="F66" t="s">
        <v>29</v>
      </c>
      <c r="G66" t="s">
        <v>45</v>
      </c>
      <c r="H66" s="10">
        <v>39906</v>
      </c>
      <c r="I66" s="10" t="s">
        <v>24</v>
      </c>
      <c r="K66" t="s">
        <v>25</v>
      </c>
      <c r="L66" t="s">
        <v>221</v>
      </c>
      <c r="N66" s="11" t="str">
        <f>Base_CRM[[#This Row],[Cidade]]&amp;"/"&amp;Base_CRM[[#This Row],[Estado]]</f>
        <v>RIO DE JANEIRO/</v>
      </c>
      <c r="O66" s="12">
        <f>IFERROR(IF(Base_CRM[[#This Row],[PL Tailor]]&gt;Base_CRM[[#This Row],[PL Declarado]],1,Base_CRM[[#This Row],[PL Tailor]]/Base_CRM[[#This Row],[PL Declarado]]),0)</f>
        <v>1</v>
      </c>
      <c r="P66" s="11" t="str">
        <f>IF(Base_CRM[[#This Row],[Estado Civil]]="","PESSOA JURÍDICA","PESSOA FÍSICA")</f>
        <v>PESSOA FÍSICA</v>
      </c>
      <c r="Q66" t="str">
        <f>_xlfn.XLOOKUP(Base_CRM[[#This Row],[Cód do Cliente]],'[1]F &amp; O'!$A:$A,'[1]F &amp; O'!$F:$F,_xlfn.XLOOKUP(Base_CRM[[#This Row],[Assessor]],[1]DePara!$A:$A,[1]DePara!$D:$D,"Outros",0,1),0,1)</f>
        <v>Leonardo Burle</v>
      </c>
      <c r="R66" s="11" t="str">
        <f>_xlfn.XLOOKUP(Base_CRM[[#This Row],[Cód do Cliente]],'[1]F &amp; O'!$A:$A,'[1]F &amp; O'!D:D,"Sem Finder",0,1)</f>
        <v>Sem Finder</v>
      </c>
      <c r="S66" s="11" t="str">
        <f>_xlfn.XLOOKUP(Base_CRM[[#This Row],[Cód do Cliente]],'[1]F &amp; O'!$A:$A,'[1]F &amp; O'!E:E,"Sem Canal",0,1)</f>
        <v>Sem Canal</v>
      </c>
      <c r="T66" s="11" t="str">
        <f t="shared" ref="T66:T129" si="1">"Cliente XP"</f>
        <v>Cliente XP</v>
      </c>
    </row>
    <row r="67" spans="1:20" x14ac:dyDescent="0.3">
      <c r="A67">
        <v>12603173</v>
      </c>
      <c r="B67" s="8" t="s">
        <v>222</v>
      </c>
      <c r="C67" s="9" t="s">
        <v>21</v>
      </c>
      <c r="D67" s="8">
        <v>0</v>
      </c>
      <c r="E67">
        <v>250000</v>
      </c>
      <c r="F67" t="s">
        <v>40</v>
      </c>
      <c r="G67" t="s">
        <v>87</v>
      </c>
      <c r="H67" s="10">
        <v>30134</v>
      </c>
      <c r="I67" s="10" t="s">
        <v>223</v>
      </c>
      <c r="K67" t="s">
        <v>42</v>
      </c>
      <c r="L67" t="s">
        <v>224</v>
      </c>
      <c r="M67" t="s">
        <v>64</v>
      </c>
      <c r="N67" s="11" t="str">
        <f>Base_CRM[[#This Row],[Cidade]]&amp;"/"&amp;Base_CRM[[#This Row],[Estado]]</f>
        <v>PETROPOLIS/</v>
      </c>
      <c r="O67" s="12">
        <f>IFERROR(IF(Base_CRM[[#This Row],[PL Tailor]]&gt;Base_CRM[[#This Row],[PL Declarado]],1,Base_CRM[[#This Row],[PL Tailor]]/Base_CRM[[#This Row],[PL Declarado]]),0)</f>
        <v>0</v>
      </c>
      <c r="P67" s="11" t="str">
        <f>IF(Base_CRM[[#This Row],[Estado Civil]]="","PESSOA JURÍDICA","PESSOA FÍSICA")</f>
        <v>PESSOA FÍSICA</v>
      </c>
      <c r="Q67" t="str">
        <f>_xlfn.XLOOKUP(Base_CRM[[#This Row],[Cód do Cliente]],'[1]F &amp; O'!$A:$A,'[1]F &amp; O'!$F:$F,_xlfn.XLOOKUP(Base_CRM[[#This Row],[Assessor]],[1]DePara!$A:$A,[1]DePara!$D:$D,"Outros",0,1),0,1)</f>
        <v>Leonardo Burle</v>
      </c>
      <c r="R67" s="11" t="str">
        <f>_xlfn.XLOOKUP(Base_CRM[[#This Row],[Cód do Cliente]],'[1]F &amp; O'!$A:$A,'[1]F &amp; O'!D:D,"Sem Finder",0,1)</f>
        <v>Sem Finder</v>
      </c>
      <c r="S67" s="11" t="str">
        <f>_xlfn.XLOOKUP(Base_CRM[[#This Row],[Cód do Cliente]],'[1]F &amp; O'!$A:$A,'[1]F &amp; O'!E:E,"Sem Canal",0,1)</f>
        <v>Sem Canal</v>
      </c>
      <c r="T67" s="11" t="str">
        <f t="shared" si="1"/>
        <v>Cliente XP</v>
      </c>
    </row>
    <row r="68" spans="1:20" x14ac:dyDescent="0.3">
      <c r="A68">
        <v>12625645</v>
      </c>
      <c r="B68" s="8" t="s">
        <v>225</v>
      </c>
      <c r="C68" s="9" t="s">
        <v>39</v>
      </c>
      <c r="D68" s="8">
        <v>324274.38</v>
      </c>
      <c r="E68">
        <v>1200000</v>
      </c>
      <c r="F68" t="s">
        <v>22</v>
      </c>
      <c r="G68" t="s">
        <v>67</v>
      </c>
      <c r="H68" s="10">
        <v>22993</v>
      </c>
      <c r="I68" s="10" t="s">
        <v>31</v>
      </c>
      <c r="K68" t="s">
        <v>42</v>
      </c>
      <c r="L68" t="s">
        <v>226</v>
      </c>
      <c r="N68" s="11" t="str">
        <f>Base_CRM[[#This Row],[Cidade]]&amp;"/"&amp;Base_CRM[[#This Row],[Estado]]</f>
        <v>SAO PAULO/</v>
      </c>
      <c r="O68" s="12">
        <f>IFERROR(IF(Base_CRM[[#This Row],[PL Tailor]]&gt;Base_CRM[[#This Row],[PL Declarado]],1,Base_CRM[[#This Row],[PL Tailor]]/Base_CRM[[#This Row],[PL Declarado]]),0)</f>
        <v>0.27022865000000001</v>
      </c>
      <c r="P68" s="11" t="str">
        <f>IF(Base_CRM[[#This Row],[Estado Civil]]="","PESSOA JURÍDICA","PESSOA FÍSICA")</f>
        <v>PESSOA FÍSICA</v>
      </c>
      <c r="Q68" t="str">
        <f>_xlfn.XLOOKUP(Base_CRM[[#This Row],[Cód do Cliente]],'[1]F &amp; O'!$A:$A,'[1]F &amp; O'!$F:$F,_xlfn.XLOOKUP(Base_CRM[[#This Row],[Assessor]],[1]DePara!$A:$A,[1]DePara!$D:$D,"Outros",0,1),0,1)</f>
        <v>Gestora</v>
      </c>
      <c r="R68" s="11" t="str">
        <f>_xlfn.XLOOKUP(Base_CRM[[#This Row],[Cód do Cliente]],'[1]F &amp; O'!$A:$A,'[1]F &amp; O'!D:D,"Sem Finder",0,1)</f>
        <v>Pedro Chagas</v>
      </c>
      <c r="S68" s="11" t="str">
        <f>_xlfn.XLOOKUP(Base_CRM[[#This Row],[Cód do Cliente]],'[1]F &amp; O'!$A:$A,'[1]F &amp; O'!E:E,"Sem Canal",0,1)</f>
        <v>Gestora</v>
      </c>
      <c r="T68" s="11" t="str">
        <f t="shared" si="1"/>
        <v>Cliente XP</v>
      </c>
    </row>
    <row r="69" spans="1:20" x14ac:dyDescent="0.3">
      <c r="A69">
        <v>12649611</v>
      </c>
      <c r="B69" s="8" t="s">
        <v>227</v>
      </c>
      <c r="C69" s="9" t="s">
        <v>39</v>
      </c>
      <c r="D69" s="8">
        <v>58092.93</v>
      </c>
      <c r="E69">
        <v>6000</v>
      </c>
      <c r="F69" t="s">
        <v>22</v>
      </c>
      <c r="G69" t="s">
        <v>228</v>
      </c>
      <c r="H69" s="10">
        <v>33355</v>
      </c>
      <c r="I69" s="10" t="s">
        <v>229</v>
      </c>
      <c r="K69" t="s">
        <v>25</v>
      </c>
      <c r="L69" t="s">
        <v>230</v>
      </c>
      <c r="N69" s="11" t="str">
        <f>Base_CRM[[#This Row],[Cidade]]&amp;"/"&amp;Base_CRM[[#This Row],[Estado]]</f>
        <v>CURITIBA/</v>
      </c>
      <c r="O69" s="12">
        <f>IFERROR(IF(Base_CRM[[#This Row],[PL Tailor]]&gt;Base_CRM[[#This Row],[PL Declarado]],1,Base_CRM[[#This Row],[PL Tailor]]/Base_CRM[[#This Row],[PL Declarado]]),0)</f>
        <v>1</v>
      </c>
      <c r="P69" s="11" t="str">
        <f>IF(Base_CRM[[#This Row],[Estado Civil]]="","PESSOA JURÍDICA","PESSOA FÍSICA")</f>
        <v>PESSOA FÍSICA</v>
      </c>
      <c r="Q69" t="str">
        <f>_xlfn.XLOOKUP(Base_CRM[[#This Row],[Cód do Cliente]],'[1]F &amp; O'!$A:$A,'[1]F &amp; O'!$F:$F,_xlfn.XLOOKUP(Base_CRM[[#This Row],[Assessor]],[1]DePara!$A:$A,[1]DePara!$D:$D,"Outros",0,1),0,1)</f>
        <v>Gestora</v>
      </c>
      <c r="R69" s="11" t="str">
        <f>_xlfn.XLOOKUP(Base_CRM[[#This Row],[Cód do Cliente]],'[1]F &amp; O'!$A:$A,'[1]F &amp; O'!D:D,"Sem Finder",0,1)</f>
        <v>Sem Finder</v>
      </c>
      <c r="S69" s="11" t="str">
        <f>_xlfn.XLOOKUP(Base_CRM[[#This Row],[Cód do Cliente]],'[1]F &amp; O'!$A:$A,'[1]F &amp; O'!E:E,"Sem Canal",0,1)</f>
        <v>Gestora</v>
      </c>
      <c r="T69" s="11" t="str">
        <f t="shared" si="1"/>
        <v>Cliente XP</v>
      </c>
    </row>
    <row r="70" spans="1:20" x14ac:dyDescent="0.3">
      <c r="A70">
        <v>12680716</v>
      </c>
      <c r="B70" s="8" t="s">
        <v>231</v>
      </c>
      <c r="C70" s="9" t="s">
        <v>74</v>
      </c>
      <c r="D70" s="8">
        <v>0</v>
      </c>
      <c r="E70">
        <v>100</v>
      </c>
      <c r="F70" t="s">
        <v>40</v>
      </c>
      <c r="G70" t="s">
        <v>87</v>
      </c>
      <c r="H70" s="10">
        <v>36221</v>
      </c>
      <c r="I70" s="10" t="s">
        <v>232</v>
      </c>
      <c r="K70" t="s">
        <v>25</v>
      </c>
      <c r="L70" t="s">
        <v>233</v>
      </c>
      <c r="N70" s="11" t="str">
        <f>Base_CRM[[#This Row],[Cidade]]&amp;"/"&amp;Base_CRM[[#This Row],[Estado]]</f>
        <v>DUQUE DE CAXIAS/</v>
      </c>
      <c r="O70" s="12">
        <f>IFERROR(IF(Base_CRM[[#This Row],[PL Tailor]]&gt;Base_CRM[[#This Row],[PL Declarado]],1,Base_CRM[[#This Row],[PL Tailor]]/Base_CRM[[#This Row],[PL Declarado]]),0)</f>
        <v>0</v>
      </c>
      <c r="P70" s="11" t="str">
        <f>IF(Base_CRM[[#This Row],[Estado Civil]]="","PESSOA JURÍDICA","PESSOA FÍSICA")</f>
        <v>PESSOA FÍSICA</v>
      </c>
      <c r="Q70" t="str">
        <f>_xlfn.XLOOKUP(Base_CRM[[#This Row],[Cód do Cliente]],'[1]F &amp; O'!$A:$A,'[1]F &amp; O'!$F:$F,_xlfn.XLOOKUP(Base_CRM[[#This Row],[Assessor]],[1]DePara!$A:$A,[1]DePara!$D:$D,"Outros",0,1),0,1)</f>
        <v>Thayane Freitas</v>
      </c>
      <c r="R70" s="11" t="str">
        <f>_xlfn.XLOOKUP(Base_CRM[[#This Row],[Cód do Cliente]],'[1]F &amp; O'!$A:$A,'[1]F &amp; O'!D:D,"Sem Finder",0,1)</f>
        <v>Sem Finder</v>
      </c>
      <c r="S70" s="11" t="str">
        <f>_xlfn.XLOOKUP(Base_CRM[[#This Row],[Cód do Cliente]],'[1]F &amp; O'!$A:$A,'[1]F &amp; O'!E:E,"Sem Canal",0,1)</f>
        <v>Sem Canal</v>
      </c>
      <c r="T70" s="11" t="str">
        <f t="shared" si="1"/>
        <v>Cliente XP</v>
      </c>
    </row>
    <row r="71" spans="1:20" x14ac:dyDescent="0.3">
      <c r="A71">
        <v>128641</v>
      </c>
      <c r="B71" s="8" t="s">
        <v>234</v>
      </c>
      <c r="C71" s="9" t="s">
        <v>74</v>
      </c>
      <c r="D71" s="8">
        <v>0</v>
      </c>
      <c r="E71">
        <v>0.01</v>
      </c>
      <c r="F71" t="s">
        <v>40</v>
      </c>
      <c r="G71" t="s">
        <v>52</v>
      </c>
      <c r="H71" s="10">
        <v>29970</v>
      </c>
      <c r="I71" s="10" t="s">
        <v>31</v>
      </c>
      <c r="K71" t="s">
        <v>104</v>
      </c>
      <c r="L71" t="s">
        <v>235</v>
      </c>
      <c r="N71" s="11" t="str">
        <f>Base_CRM[[#This Row],[Cidade]]&amp;"/"&amp;Base_CRM[[#This Row],[Estado]]</f>
        <v>SAO PAULO/</v>
      </c>
      <c r="O71" s="12">
        <f>IFERROR(IF(Base_CRM[[#This Row],[PL Tailor]]&gt;Base_CRM[[#This Row],[PL Declarado]],1,Base_CRM[[#This Row],[PL Tailor]]/Base_CRM[[#This Row],[PL Declarado]]),0)</f>
        <v>0</v>
      </c>
      <c r="P71" s="11" t="str">
        <f>IF(Base_CRM[[#This Row],[Estado Civil]]="","PESSOA JURÍDICA","PESSOA FÍSICA")</f>
        <v>PESSOA FÍSICA</v>
      </c>
      <c r="Q71" t="str">
        <f>_xlfn.XLOOKUP(Base_CRM[[#This Row],[Cód do Cliente]],'[1]F &amp; O'!$A:$A,'[1]F &amp; O'!$F:$F,_xlfn.XLOOKUP(Base_CRM[[#This Row],[Assessor]],[1]DePara!$A:$A,[1]DePara!$D:$D,"Outros",0,1),0,1)</f>
        <v>Legado</v>
      </c>
      <c r="R71" s="11" t="str">
        <f>_xlfn.XLOOKUP(Base_CRM[[#This Row],[Cód do Cliente]],'[1]F &amp; O'!$A:$A,'[1]F &amp; O'!D:D,"Sem Finder",0,1)</f>
        <v>Sem Finder</v>
      </c>
      <c r="S71" s="11" t="str">
        <f>_xlfn.XLOOKUP(Base_CRM[[#This Row],[Cód do Cliente]],'[1]F &amp; O'!$A:$A,'[1]F &amp; O'!E:E,"Sem Canal",0,1)</f>
        <v>Gestora</v>
      </c>
      <c r="T71" s="11" t="str">
        <f t="shared" si="1"/>
        <v>Cliente XP</v>
      </c>
    </row>
    <row r="72" spans="1:20" x14ac:dyDescent="0.3">
      <c r="A72">
        <v>13038806</v>
      </c>
      <c r="B72" s="8" t="s">
        <v>236</v>
      </c>
      <c r="C72" s="9" t="s">
        <v>21</v>
      </c>
      <c r="D72" s="8">
        <v>79072.19</v>
      </c>
      <c r="E72">
        <v>10000000</v>
      </c>
      <c r="F72" t="s">
        <v>29</v>
      </c>
      <c r="G72" t="s">
        <v>67</v>
      </c>
      <c r="H72" s="10">
        <v>26013</v>
      </c>
      <c r="I72" s="10" t="s">
        <v>24</v>
      </c>
      <c r="K72" t="s">
        <v>42</v>
      </c>
      <c r="L72" t="s">
        <v>237</v>
      </c>
      <c r="M72" t="s">
        <v>64</v>
      </c>
      <c r="N72" s="11" t="str">
        <f>Base_CRM[[#This Row],[Cidade]]&amp;"/"&amp;Base_CRM[[#This Row],[Estado]]</f>
        <v>RIO DE JANEIRO/</v>
      </c>
      <c r="O72" s="12">
        <f>IFERROR(IF(Base_CRM[[#This Row],[PL Tailor]]&gt;Base_CRM[[#This Row],[PL Declarado]],1,Base_CRM[[#This Row],[PL Tailor]]/Base_CRM[[#This Row],[PL Declarado]]),0)</f>
        <v>7.9072190000000001E-3</v>
      </c>
      <c r="P72" s="11" t="str">
        <f>IF(Base_CRM[[#This Row],[Estado Civil]]="","PESSOA JURÍDICA","PESSOA FÍSICA")</f>
        <v>PESSOA FÍSICA</v>
      </c>
      <c r="Q72" t="str">
        <f>_xlfn.XLOOKUP(Base_CRM[[#This Row],[Cód do Cliente]],'[1]F &amp; O'!$A:$A,'[1]F &amp; O'!$F:$F,_xlfn.XLOOKUP(Base_CRM[[#This Row],[Assessor]],[1]DePara!$A:$A,[1]DePara!$D:$D,"Outros",0,1),0,1)</f>
        <v>Leonardo Burle</v>
      </c>
      <c r="R72" s="11" t="str">
        <f>_xlfn.XLOOKUP(Base_CRM[[#This Row],[Cód do Cliente]],'[1]F &amp; O'!$A:$A,'[1]F &amp; O'!D:D,"Sem Finder",0,1)</f>
        <v>Sem Finder</v>
      </c>
      <c r="S72" s="11" t="str">
        <f>_xlfn.XLOOKUP(Base_CRM[[#This Row],[Cód do Cliente]],'[1]F &amp; O'!$A:$A,'[1]F &amp; O'!E:E,"Sem Canal",0,1)</f>
        <v>Sem Canal</v>
      </c>
      <c r="T72" s="11" t="str">
        <f t="shared" si="1"/>
        <v>Cliente XP</v>
      </c>
    </row>
    <row r="73" spans="1:20" x14ac:dyDescent="0.3">
      <c r="A73">
        <v>13046817</v>
      </c>
      <c r="B73" s="8" t="s">
        <v>238</v>
      </c>
      <c r="C73" s="9" t="s">
        <v>74</v>
      </c>
      <c r="D73" s="8">
        <v>0</v>
      </c>
      <c r="E73">
        <v>7000</v>
      </c>
      <c r="F73" t="s">
        <v>40</v>
      </c>
      <c r="G73" t="s">
        <v>35</v>
      </c>
      <c r="H73" s="10">
        <v>37295</v>
      </c>
      <c r="I73" s="10" t="s">
        <v>24</v>
      </c>
      <c r="K73" t="s">
        <v>25</v>
      </c>
      <c r="L73" t="s">
        <v>239</v>
      </c>
      <c r="N73" s="11" t="str">
        <f>Base_CRM[[#This Row],[Cidade]]&amp;"/"&amp;Base_CRM[[#This Row],[Estado]]</f>
        <v>RIO DE JANEIRO/</v>
      </c>
      <c r="O73" s="12">
        <f>IFERROR(IF(Base_CRM[[#This Row],[PL Tailor]]&gt;Base_CRM[[#This Row],[PL Declarado]],1,Base_CRM[[#This Row],[PL Tailor]]/Base_CRM[[#This Row],[PL Declarado]]),0)</f>
        <v>0</v>
      </c>
      <c r="P73" s="11" t="str">
        <f>IF(Base_CRM[[#This Row],[Estado Civil]]="","PESSOA JURÍDICA","PESSOA FÍSICA")</f>
        <v>PESSOA FÍSICA</v>
      </c>
      <c r="Q73" t="str">
        <f>_xlfn.XLOOKUP(Base_CRM[[#This Row],[Cód do Cliente]],'[1]F &amp; O'!$A:$A,'[1]F &amp; O'!$F:$F,_xlfn.XLOOKUP(Base_CRM[[#This Row],[Assessor]],[1]DePara!$A:$A,[1]DePara!$D:$D,"Outros",0,1),0,1)</f>
        <v>Thayane Freitas</v>
      </c>
      <c r="R73" s="11" t="str">
        <f>_xlfn.XLOOKUP(Base_CRM[[#This Row],[Cód do Cliente]],'[1]F &amp; O'!$A:$A,'[1]F &amp; O'!D:D,"Sem Finder",0,1)</f>
        <v>Sem Finder</v>
      </c>
      <c r="S73" s="11" t="str">
        <f>_xlfn.XLOOKUP(Base_CRM[[#This Row],[Cód do Cliente]],'[1]F &amp; O'!$A:$A,'[1]F &amp; O'!E:E,"Sem Canal",0,1)</f>
        <v>Sem Canal</v>
      </c>
      <c r="T73" s="11" t="str">
        <f t="shared" si="1"/>
        <v>Cliente XP</v>
      </c>
    </row>
    <row r="74" spans="1:20" x14ac:dyDescent="0.3">
      <c r="A74">
        <v>132705</v>
      </c>
      <c r="B74" s="8" t="s">
        <v>240</v>
      </c>
      <c r="C74" s="9" t="s">
        <v>74</v>
      </c>
      <c r="D74" s="8">
        <v>0</v>
      </c>
      <c r="E74">
        <v>10000</v>
      </c>
      <c r="F74" t="s">
        <v>29</v>
      </c>
      <c r="G74" t="s">
        <v>87</v>
      </c>
      <c r="H74" s="10">
        <v>31302</v>
      </c>
      <c r="I74" s="10" t="s">
        <v>31</v>
      </c>
      <c r="K74" t="s">
        <v>25</v>
      </c>
      <c r="L74" t="s">
        <v>241</v>
      </c>
      <c r="N74" s="11" t="str">
        <f>Base_CRM[[#This Row],[Cidade]]&amp;"/"&amp;Base_CRM[[#This Row],[Estado]]</f>
        <v>SAO PAULO/</v>
      </c>
      <c r="O74" s="12">
        <f>IFERROR(IF(Base_CRM[[#This Row],[PL Tailor]]&gt;Base_CRM[[#This Row],[PL Declarado]],1,Base_CRM[[#This Row],[PL Tailor]]/Base_CRM[[#This Row],[PL Declarado]]),0)</f>
        <v>0</v>
      </c>
      <c r="P74" s="11" t="str">
        <f>IF(Base_CRM[[#This Row],[Estado Civil]]="","PESSOA JURÍDICA","PESSOA FÍSICA")</f>
        <v>PESSOA FÍSICA</v>
      </c>
      <c r="Q74" t="str">
        <f>_xlfn.XLOOKUP(Base_CRM[[#This Row],[Cód do Cliente]],'[1]F &amp; O'!$A:$A,'[1]F &amp; O'!$F:$F,_xlfn.XLOOKUP(Base_CRM[[#This Row],[Assessor]],[1]DePara!$A:$A,[1]DePara!$D:$D,"Outros",0,1),0,1)</f>
        <v>Legado</v>
      </c>
      <c r="R74" s="11" t="str">
        <f>_xlfn.XLOOKUP(Base_CRM[[#This Row],[Cód do Cliente]],'[1]F &amp; O'!$A:$A,'[1]F &amp; O'!D:D,"Sem Finder",0,1)</f>
        <v>Sem Finder</v>
      </c>
      <c r="S74" s="11" t="str">
        <f>_xlfn.XLOOKUP(Base_CRM[[#This Row],[Cód do Cliente]],'[1]F &amp; O'!$A:$A,'[1]F &amp; O'!E:E,"Sem Canal",0,1)</f>
        <v>Gestora</v>
      </c>
      <c r="T74" s="11" t="str">
        <f t="shared" si="1"/>
        <v>Cliente XP</v>
      </c>
    </row>
    <row r="75" spans="1:20" x14ac:dyDescent="0.3">
      <c r="A75">
        <v>13550756</v>
      </c>
      <c r="B75" s="8" t="s">
        <v>242</v>
      </c>
      <c r="C75" s="9" t="s">
        <v>74</v>
      </c>
      <c r="D75" s="8">
        <v>0</v>
      </c>
      <c r="E75">
        <v>5000000</v>
      </c>
      <c r="F75" t="s">
        <v>40</v>
      </c>
      <c r="G75" t="s">
        <v>35</v>
      </c>
      <c r="H75" s="10">
        <v>19400</v>
      </c>
      <c r="I75" s="10" t="s">
        <v>24</v>
      </c>
      <c r="K75" t="s">
        <v>42</v>
      </c>
      <c r="L75" t="s">
        <v>243</v>
      </c>
      <c r="N75" s="11" t="str">
        <f>Base_CRM[[#This Row],[Cidade]]&amp;"/"&amp;Base_CRM[[#This Row],[Estado]]</f>
        <v>RIO DE JANEIRO/</v>
      </c>
      <c r="O75" s="12">
        <f>IFERROR(IF(Base_CRM[[#This Row],[PL Tailor]]&gt;Base_CRM[[#This Row],[PL Declarado]],1,Base_CRM[[#This Row],[PL Tailor]]/Base_CRM[[#This Row],[PL Declarado]]),0)</f>
        <v>0</v>
      </c>
      <c r="P75" s="11" t="str">
        <f>IF(Base_CRM[[#This Row],[Estado Civil]]="","PESSOA JURÍDICA","PESSOA FÍSICA")</f>
        <v>PESSOA FÍSICA</v>
      </c>
      <c r="Q75" t="str">
        <f>_xlfn.XLOOKUP(Base_CRM[[#This Row],[Cód do Cliente]],'[1]F &amp; O'!$A:$A,'[1]F &amp; O'!$F:$F,_xlfn.XLOOKUP(Base_CRM[[#This Row],[Assessor]],[1]DePara!$A:$A,[1]DePara!$D:$D,"Outros",0,1),0,1)</f>
        <v>Thayane Freitas</v>
      </c>
      <c r="R75" s="11" t="str">
        <f>_xlfn.XLOOKUP(Base_CRM[[#This Row],[Cód do Cliente]],'[1]F &amp; O'!$A:$A,'[1]F &amp; O'!D:D,"Sem Finder",0,1)</f>
        <v>Sem Finder</v>
      </c>
      <c r="S75" s="11" t="str">
        <f>_xlfn.XLOOKUP(Base_CRM[[#This Row],[Cód do Cliente]],'[1]F &amp; O'!$A:$A,'[1]F &amp; O'!E:E,"Sem Canal",0,1)</f>
        <v>Sem Canal</v>
      </c>
      <c r="T75" s="11" t="str">
        <f t="shared" si="1"/>
        <v>Cliente XP</v>
      </c>
    </row>
    <row r="76" spans="1:20" x14ac:dyDescent="0.3">
      <c r="A76">
        <v>13565986</v>
      </c>
      <c r="B76" s="8" t="s">
        <v>244</v>
      </c>
      <c r="C76" s="9" t="s">
        <v>34</v>
      </c>
      <c r="D76" s="8">
        <v>0</v>
      </c>
      <c r="E76">
        <v>1000000</v>
      </c>
      <c r="F76" t="s">
        <v>40</v>
      </c>
      <c r="G76" t="s">
        <v>67</v>
      </c>
      <c r="H76" s="10">
        <v>28642</v>
      </c>
      <c r="I76" s="10" t="s">
        <v>24</v>
      </c>
      <c r="K76" t="s">
        <v>25</v>
      </c>
      <c r="L76" t="s">
        <v>245</v>
      </c>
      <c r="N76" s="11" t="str">
        <f>Base_CRM[[#This Row],[Cidade]]&amp;"/"&amp;Base_CRM[[#This Row],[Estado]]</f>
        <v>RIO DE JANEIRO/</v>
      </c>
      <c r="O76" s="12">
        <f>IFERROR(IF(Base_CRM[[#This Row],[PL Tailor]]&gt;Base_CRM[[#This Row],[PL Declarado]],1,Base_CRM[[#This Row],[PL Tailor]]/Base_CRM[[#This Row],[PL Declarado]]),0)</f>
        <v>0</v>
      </c>
      <c r="P76" s="11" t="str">
        <f>IF(Base_CRM[[#This Row],[Estado Civil]]="","PESSOA JURÍDICA","PESSOA FÍSICA")</f>
        <v>PESSOA FÍSICA</v>
      </c>
      <c r="Q76" t="str">
        <f>_xlfn.XLOOKUP(Base_CRM[[#This Row],[Cód do Cliente]],'[1]F &amp; O'!$A:$A,'[1]F &amp; O'!$F:$F,_xlfn.XLOOKUP(Base_CRM[[#This Row],[Assessor]],[1]DePara!$A:$A,[1]DePara!$D:$D,"Outros",0,1),0,1)</f>
        <v>Adonias Noronha</v>
      </c>
      <c r="R76" s="11" t="str">
        <f>_xlfn.XLOOKUP(Base_CRM[[#This Row],[Cód do Cliente]],'[1]F &amp; O'!$A:$A,'[1]F &amp; O'!D:D,"Sem Finder",0,1)</f>
        <v>Sem Finder</v>
      </c>
      <c r="S76" s="11" t="str">
        <f>_xlfn.XLOOKUP(Base_CRM[[#This Row],[Cód do Cliente]],'[1]F &amp; O'!$A:$A,'[1]F &amp; O'!E:E,"Sem Canal",0,1)</f>
        <v>Sem Canal</v>
      </c>
      <c r="T76" s="11" t="str">
        <f t="shared" si="1"/>
        <v>Cliente XP</v>
      </c>
    </row>
    <row r="77" spans="1:20" x14ac:dyDescent="0.3">
      <c r="A77">
        <v>13569487</v>
      </c>
      <c r="B77" s="8" t="s">
        <v>246</v>
      </c>
      <c r="C77" s="9" t="s">
        <v>74</v>
      </c>
      <c r="D77" s="8">
        <v>76598.23</v>
      </c>
      <c r="E77">
        <v>400</v>
      </c>
      <c r="F77" t="s">
        <v>22</v>
      </c>
      <c r="G77" t="s">
        <v>67</v>
      </c>
      <c r="H77" s="10">
        <v>30457</v>
      </c>
      <c r="I77" s="10" t="s">
        <v>247</v>
      </c>
      <c r="K77" t="s">
        <v>104</v>
      </c>
      <c r="L77" t="s">
        <v>248</v>
      </c>
      <c r="M77" t="s">
        <v>64</v>
      </c>
      <c r="N77" s="11" t="str">
        <f>Base_CRM[[#This Row],[Cidade]]&amp;"/"&amp;Base_CRM[[#This Row],[Estado]]</f>
        <v>Campinas/</v>
      </c>
      <c r="O77" s="12">
        <f>IFERROR(IF(Base_CRM[[#This Row],[PL Tailor]]&gt;Base_CRM[[#This Row],[PL Declarado]],1,Base_CRM[[#This Row],[PL Tailor]]/Base_CRM[[#This Row],[PL Declarado]]),0)</f>
        <v>1</v>
      </c>
      <c r="P77" s="11" t="str">
        <f>IF(Base_CRM[[#This Row],[Estado Civil]]="","PESSOA JURÍDICA","PESSOA FÍSICA")</f>
        <v>PESSOA FÍSICA</v>
      </c>
      <c r="Q77" t="str">
        <f>_xlfn.XLOOKUP(Base_CRM[[#This Row],[Cód do Cliente]],'[1]F &amp; O'!$A:$A,'[1]F &amp; O'!$F:$F,_xlfn.XLOOKUP(Base_CRM[[#This Row],[Assessor]],[1]DePara!$A:$A,[1]DePara!$D:$D,"Outros",0,1),0,1)</f>
        <v>Thayane Freitas</v>
      </c>
      <c r="R77" s="11" t="str">
        <f>_xlfn.XLOOKUP(Base_CRM[[#This Row],[Cód do Cliente]],'[1]F &amp; O'!$A:$A,'[1]F &amp; O'!D:D,"Sem Finder",0,1)</f>
        <v>Sem Finder</v>
      </c>
      <c r="S77" s="11" t="str">
        <f>_xlfn.XLOOKUP(Base_CRM[[#This Row],[Cód do Cliente]],'[1]F &amp; O'!$A:$A,'[1]F &amp; O'!E:E,"Sem Canal",0,1)</f>
        <v>Sem Canal</v>
      </c>
      <c r="T77" s="11" t="str">
        <f t="shared" si="1"/>
        <v>Cliente XP</v>
      </c>
    </row>
    <row r="78" spans="1:20" x14ac:dyDescent="0.3">
      <c r="A78">
        <v>13579333</v>
      </c>
      <c r="B78" s="8" t="s">
        <v>249</v>
      </c>
      <c r="C78" s="9" t="s">
        <v>34</v>
      </c>
      <c r="D78" s="8">
        <v>1145552.0900000001</v>
      </c>
      <c r="E78">
        <v>1000000</v>
      </c>
      <c r="F78" t="s">
        <v>29</v>
      </c>
      <c r="G78" t="s">
        <v>127</v>
      </c>
      <c r="H78" s="10">
        <v>15067</v>
      </c>
      <c r="I78" s="10" t="s">
        <v>31</v>
      </c>
      <c r="K78" t="s">
        <v>250</v>
      </c>
      <c r="L78" t="s">
        <v>251</v>
      </c>
      <c r="M78" t="s">
        <v>90</v>
      </c>
      <c r="N78" s="11" t="str">
        <f>Base_CRM[[#This Row],[Cidade]]&amp;"/"&amp;Base_CRM[[#This Row],[Estado]]</f>
        <v>SAO PAULO/</v>
      </c>
      <c r="O78" s="12">
        <f>IFERROR(IF(Base_CRM[[#This Row],[PL Tailor]]&gt;Base_CRM[[#This Row],[PL Declarado]],1,Base_CRM[[#This Row],[PL Tailor]]/Base_CRM[[#This Row],[PL Declarado]]),0)</f>
        <v>1</v>
      </c>
      <c r="P78" s="11" t="str">
        <f>IF(Base_CRM[[#This Row],[Estado Civil]]="","PESSOA JURÍDICA","PESSOA FÍSICA")</f>
        <v>PESSOA FÍSICA</v>
      </c>
      <c r="Q78" t="str">
        <f>_xlfn.XLOOKUP(Base_CRM[[#This Row],[Cód do Cliente]],'[1]F &amp; O'!$A:$A,'[1]F &amp; O'!$F:$F,_xlfn.XLOOKUP(Base_CRM[[#This Row],[Assessor]],[1]DePara!$A:$A,[1]DePara!$D:$D,"Outros",0,1),0,1)</f>
        <v>Adonias Noronha</v>
      </c>
      <c r="R78" s="11" t="str">
        <f>_xlfn.XLOOKUP(Base_CRM[[#This Row],[Cód do Cliente]],'[1]F &amp; O'!$A:$A,'[1]F &amp; O'!D:D,"Sem Finder",0,1)</f>
        <v>Sem Finder</v>
      </c>
      <c r="S78" s="11" t="str">
        <f>_xlfn.XLOOKUP(Base_CRM[[#This Row],[Cód do Cliente]],'[1]F &amp; O'!$A:$A,'[1]F &amp; O'!E:E,"Sem Canal",0,1)</f>
        <v>Sem Canal</v>
      </c>
      <c r="T78" s="11" t="str">
        <f t="shared" si="1"/>
        <v>Cliente XP</v>
      </c>
    </row>
    <row r="79" spans="1:20" x14ac:dyDescent="0.3">
      <c r="A79">
        <v>13959470</v>
      </c>
      <c r="B79" s="8" t="s">
        <v>252</v>
      </c>
      <c r="C79" s="9" t="s">
        <v>74</v>
      </c>
      <c r="D79" s="8">
        <v>0</v>
      </c>
      <c r="E79">
        <v>35000</v>
      </c>
      <c r="F79" t="s">
        <v>29</v>
      </c>
      <c r="G79" t="s">
        <v>52</v>
      </c>
      <c r="H79" s="10">
        <v>31674</v>
      </c>
      <c r="I79" s="10" t="s">
        <v>31</v>
      </c>
      <c r="K79" t="s">
        <v>25</v>
      </c>
      <c r="L79" t="s">
        <v>253</v>
      </c>
      <c r="N79" s="11" t="str">
        <f>Base_CRM[[#This Row],[Cidade]]&amp;"/"&amp;Base_CRM[[#This Row],[Estado]]</f>
        <v>SAO PAULO/</v>
      </c>
      <c r="O79" s="12">
        <f>IFERROR(IF(Base_CRM[[#This Row],[PL Tailor]]&gt;Base_CRM[[#This Row],[PL Declarado]],1,Base_CRM[[#This Row],[PL Tailor]]/Base_CRM[[#This Row],[PL Declarado]]),0)</f>
        <v>0</v>
      </c>
      <c r="P79" s="11" t="str">
        <f>IF(Base_CRM[[#This Row],[Estado Civil]]="","PESSOA JURÍDICA","PESSOA FÍSICA")</f>
        <v>PESSOA FÍSICA</v>
      </c>
      <c r="Q79" t="str">
        <f>_xlfn.XLOOKUP(Base_CRM[[#This Row],[Cód do Cliente]],'[1]F &amp; O'!$A:$A,'[1]F &amp; O'!$F:$F,_xlfn.XLOOKUP(Base_CRM[[#This Row],[Assessor]],[1]DePara!$A:$A,[1]DePara!$D:$D,"Outros",0,1),0,1)</f>
        <v>Thayane Freitas</v>
      </c>
      <c r="R79" s="11" t="str">
        <f>_xlfn.XLOOKUP(Base_CRM[[#This Row],[Cód do Cliente]],'[1]F &amp; O'!$A:$A,'[1]F &amp; O'!D:D,"Sem Finder",0,1)</f>
        <v>Sem Finder</v>
      </c>
      <c r="S79" s="11" t="str">
        <f>_xlfn.XLOOKUP(Base_CRM[[#This Row],[Cód do Cliente]],'[1]F &amp; O'!$A:$A,'[1]F &amp; O'!E:E,"Sem Canal",0,1)</f>
        <v>Sem Canal</v>
      </c>
      <c r="T79" s="11" t="str">
        <f t="shared" si="1"/>
        <v>Cliente XP</v>
      </c>
    </row>
    <row r="80" spans="1:20" x14ac:dyDescent="0.3">
      <c r="A80">
        <v>14255147</v>
      </c>
      <c r="B80" s="8" t="s">
        <v>254</v>
      </c>
      <c r="C80" s="9" t="s">
        <v>34</v>
      </c>
      <c r="D80" s="8">
        <v>0</v>
      </c>
      <c r="E80">
        <v>1500000</v>
      </c>
      <c r="F80" t="s">
        <v>22</v>
      </c>
      <c r="G80" t="s">
        <v>67</v>
      </c>
      <c r="H80" s="10">
        <v>26447</v>
      </c>
      <c r="I80" s="10" t="s">
        <v>255</v>
      </c>
      <c r="K80" t="s">
        <v>42</v>
      </c>
      <c r="L80" t="s">
        <v>256</v>
      </c>
      <c r="N80" s="11" t="str">
        <f>Base_CRM[[#This Row],[Cidade]]&amp;"/"&amp;Base_CRM[[#This Row],[Estado]]</f>
        <v>SAO JOSE DO RIO PRETO/</v>
      </c>
      <c r="O80" s="12">
        <f>IFERROR(IF(Base_CRM[[#This Row],[PL Tailor]]&gt;Base_CRM[[#This Row],[PL Declarado]],1,Base_CRM[[#This Row],[PL Tailor]]/Base_CRM[[#This Row],[PL Declarado]]),0)</f>
        <v>0</v>
      </c>
      <c r="P80" s="11" t="str">
        <f>IF(Base_CRM[[#This Row],[Estado Civil]]="","PESSOA JURÍDICA","PESSOA FÍSICA")</f>
        <v>PESSOA FÍSICA</v>
      </c>
      <c r="Q80" t="str">
        <f>_xlfn.XLOOKUP(Base_CRM[[#This Row],[Cód do Cliente]],'[1]F &amp; O'!$A:$A,'[1]F &amp; O'!$F:$F,_xlfn.XLOOKUP(Base_CRM[[#This Row],[Assessor]],[1]DePara!$A:$A,[1]DePara!$D:$D,"Outros",0,1),0,1)</f>
        <v>Adonias Noronha</v>
      </c>
      <c r="R80" s="11" t="str">
        <f>_xlfn.XLOOKUP(Base_CRM[[#This Row],[Cód do Cliente]],'[1]F &amp; O'!$A:$A,'[1]F &amp; O'!D:D,"Sem Finder",0,1)</f>
        <v>Sem Finder</v>
      </c>
      <c r="S80" s="11" t="str">
        <f>_xlfn.XLOOKUP(Base_CRM[[#This Row],[Cód do Cliente]],'[1]F &amp; O'!$A:$A,'[1]F &amp; O'!E:E,"Sem Canal",0,1)</f>
        <v>Sem Canal</v>
      </c>
      <c r="T80" s="11" t="str">
        <f t="shared" si="1"/>
        <v>Cliente XP</v>
      </c>
    </row>
    <row r="81" spans="1:20" x14ac:dyDescent="0.3">
      <c r="A81">
        <v>14263150</v>
      </c>
      <c r="B81" s="8" t="s">
        <v>257</v>
      </c>
      <c r="C81" s="9" t="s">
        <v>48</v>
      </c>
      <c r="D81" s="8">
        <v>2757100.13</v>
      </c>
      <c r="E81">
        <v>10000000</v>
      </c>
      <c r="F81" t="s">
        <v>29</v>
      </c>
      <c r="G81" t="s">
        <v>87</v>
      </c>
      <c r="H81" s="10">
        <v>26700</v>
      </c>
      <c r="I81" s="10" t="s">
        <v>31</v>
      </c>
      <c r="K81" t="s">
        <v>88</v>
      </c>
      <c r="L81" t="s">
        <v>258</v>
      </c>
      <c r="M81" t="s">
        <v>64</v>
      </c>
      <c r="N81" s="11" t="str">
        <f>Base_CRM[[#This Row],[Cidade]]&amp;"/"&amp;Base_CRM[[#This Row],[Estado]]</f>
        <v>SAO PAULO/</v>
      </c>
      <c r="O81" s="12">
        <f>IFERROR(IF(Base_CRM[[#This Row],[PL Tailor]]&gt;Base_CRM[[#This Row],[PL Declarado]],1,Base_CRM[[#This Row],[PL Tailor]]/Base_CRM[[#This Row],[PL Declarado]]),0)</f>
        <v>0.27571001299999998</v>
      </c>
      <c r="P81" s="11" t="str">
        <f>IF(Base_CRM[[#This Row],[Estado Civil]]="","PESSOA JURÍDICA","PESSOA FÍSICA")</f>
        <v>PESSOA FÍSICA</v>
      </c>
      <c r="Q81" t="str">
        <f>_xlfn.XLOOKUP(Base_CRM[[#This Row],[Cód do Cliente]],'[1]F &amp; O'!$A:$A,'[1]F &amp; O'!$F:$F,_xlfn.XLOOKUP(Base_CRM[[#This Row],[Assessor]],[1]DePara!$A:$A,[1]DePara!$D:$D,"Outros",0,1),0,1)</f>
        <v>Raphael Farias</v>
      </c>
      <c r="R81" s="11" t="str">
        <f>_xlfn.XLOOKUP(Base_CRM[[#This Row],[Cód do Cliente]],'[1]F &amp; O'!$A:$A,'[1]F &amp; O'!D:D,"Sem Finder",0,1)</f>
        <v>Sem Finder</v>
      </c>
      <c r="S81" s="11" t="str">
        <f>_xlfn.XLOOKUP(Base_CRM[[#This Row],[Cód do Cliente]],'[1]F &amp; O'!$A:$A,'[1]F &amp; O'!E:E,"Sem Canal",0,1)</f>
        <v>Sem Canal</v>
      </c>
      <c r="T81" s="11" t="str">
        <f t="shared" si="1"/>
        <v>Cliente XP</v>
      </c>
    </row>
    <row r="82" spans="1:20" x14ac:dyDescent="0.3">
      <c r="A82">
        <v>14340122</v>
      </c>
      <c r="B82" s="8" t="s">
        <v>259</v>
      </c>
      <c r="C82" s="9" t="s">
        <v>74</v>
      </c>
      <c r="D82" s="8">
        <v>10.1</v>
      </c>
      <c r="E82">
        <v>20000</v>
      </c>
      <c r="F82" t="s">
        <v>29</v>
      </c>
      <c r="G82" t="s">
        <v>228</v>
      </c>
      <c r="H82" s="10">
        <v>37846</v>
      </c>
      <c r="I82" s="10" t="s">
        <v>24</v>
      </c>
      <c r="K82" t="s">
        <v>25</v>
      </c>
      <c r="L82" t="s">
        <v>260</v>
      </c>
      <c r="N82" s="11" t="str">
        <f>Base_CRM[[#This Row],[Cidade]]&amp;"/"&amp;Base_CRM[[#This Row],[Estado]]</f>
        <v>RIO DE JANEIRO/</v>
      </c>
      <c r="O82" s="12">
        <f>IFERROR(IF(Base_CRM[[#This Row],[PL Tailor]]&gt;Base_CRM[[#This Row],[PL Declarado]],1,Base_CRM[[#This Row],[PL Tailor]]/Base_CRM[[#This Row],[PL Declarado]]),0)</f>
        <v>5.0500000000000002E-4</v>
      </c>
      <c r="P82" s="11" t="str">
        <f>IF(Base_CRM[[#This Row],[Estado Civil]]="","PESSOA JURÍDICA","PESSOA FÍSICA")</f>
        <v>PESSOA FÍSICA</v>
      </c>
      <c r="Q82" t="str">
        <f>_xlfn.XLOOKUP(Base_CRM[[#This Row],[Cód do Cliente]],'[1]F &amp; O'!$A:$A,'[1]F &amp; O'!$F:$F,_xlfn.XLOOKUP(Base_CRM[[#This Row],[Assessor]],[1]DePara!$A:$A,[1]DePara!$D:$D,"Outros",0,1),0,1)</f>
        <v>Thayane Freitas</v>
      </c>
      <c r="R82" s="11" t="str">
        <f>_xlfn.XLOOKUP(Base_CRM[[#This Row],[Cód do Cliente]],'[1]F &amp; O'!$A:$A,'[1]F &amp; O'!D:D,"Sem Finder",0,1)</f>
        <v>Sem Finder</v>
      </c>
      <c r="S82" s="11" t="str">
        <f>_xlfn.XLOOKUP(Base_CRM[[#This Row],[Cód do Cliente]],'[1]F &amp; O'!$A:$A,'[1]F &amp; O'!E:E,"Sem Canal",0,1)</f>
        <v>Sem Canal</v>
      </c>
      <c r="T82" s="11" t="str">
        <f t="shared" si="1"/>
        <v>Cliente XP</v>
      </c>
    </row>
    <row r="83" spans="1:20" x14ac:dyDescent="0.3">
      <c r="A83">
        <v>14378745</v>
      </c>
      <c r="B83" s="8" t="s">
        <v>261</v>
      </c>
      <c r="C83" s="9" t="s">
        <v>34</v>
      </c>
      <c r="D83" s="8">
        <v>119346.27</v>
      </c>
      <c r="E83">
        <v>70000</v>
      </c>
      <c r="F83" t="s">
        <v>29</v>
      </c>
      <c r="G83" t="s">
        <v>262</v>
      </c>
      <c r="H83" s="10">
        <v>31947</v>
      </c>
      <c r="I83" s="10" t="s">
        <v>24</v>
      </c>
      <c r="K83" t="s">
        <v>42</v>
      </c>
      <c r="L83" t="s">
        <v>263</v>
      </c>
      <c r="N83" s="11" t="str">
        <f>Base_CRM[[#This Row],[Cidade]]&amp;"/"&amp;Base_CRM[[#This Row],[Estado]]</f>
        <v>RIO DE JANEIRO/</v>
      </c>
      <c r="O83" s="12">
        <f>IFERROR(IF(Base_CRM[[#This Row],[PL Tailor]]&gt;Base_CRM[[#This Row],[PL Declarado]],1,Base_CRM[[#This Row],[PL Tailor]]/Base_CRM[[#This Row],[PL Declarado]]),0)</f>
        <v>1</v>
      </c>
      <c r="P83" s="11" t="str">
        <f>IF(Base_CRM[[#This Row],[Estado Civil]]="","PESSOA JURÍDICA","PESSOA FÍSICA")</f>
        <v>PESSOA FÍSICA</v>
      </c>
      <c r="Q83" t="str">
        <f>_xlfn.XLOOKUP(Base_CRM[[#This Row],[Cód do Cliente]],'[1]F &amp; O'!$A:$A,'[1]F &amp; O'!$F:$F,_xlfn.XLOOKUP(Base_CRM[[#This Row],[Assessor]],[1]DePara!$A:$A,[1]DePara!$D:$D,"Outros",0,1),0,1)</f>
        <v>Adonias Noronha</v>
      </c>
      <c r="R83" s="11" t="str">
        <f>_xlfn.XLOOKUP(Base_CRM[[#This Row],[Cód do Cliente]],'[1]F &amp; O'!$A:$A,'[1]F &amp; O'!D:D,"Sem Finder",0,1)</f>
        <v>Sem Finder</v>
      </c>
      <c r="S83" s="11" t="str">
        <f>_xlfn.XLOOKUP(Base_CRM[[#This Row],[Cód do Cliente]],'[1]F &amp; O'!$A:$A,'[1]F &amp; O'!E:E,"Sem Canal",0,1)</f>
        <v>Sem Canal</v>
      </c>
      <c r="T83" s="11" t="str">
        <f t="shared" si="1"/>
        <v>Cliente XP</v>
      </c>
    </row>
    <row r="84" spans="1:20" x14ac:dyDescent="0.3">
      <c r="A84">
        <v>14440248</v>
      </c>
      <c r="B84" s="8" t="s">
        <v>264</v>
      </c>
      <c r="C84" s="9" t="s">
        <v>34</v>
      </c>
      <c r="D84" s="8">
        <v>717711.52</v>
      </c>
      <c r="E84">
        <v>500000</v>
      </c>
      <c r="F84" t="s">
        <v>22</v>
      </c>
      <c r="G84" t="s">
        <v>265</v>
      </c>
      <c r="H84" s="10">
        <v>26745</v>
      </c>
      <c r="I84" s="10" t="s">
        <v>24</v>
      </c>
      <c r="K84" t="s">
        <v>42</v>
      </c>
      <c r="L84" t="s">
        <v>266</v>
      </c>
      <c r="M84" t="s">
        <v>77</v>
      </c>
      <c r="N84" s="11" t="str">
        <f>Base_CRM[[#This Row],[Cidade]]&amp;"/"&amp;Base_CRM[[#This Row],[Estado]]</f>
        <v>RIO DE JANEIRO/</v>
      </c>
      <c r="O84" s="12">
        <f>IFERROR(IF(Base_CRM[[#This Row],[PL Tailor]]&gt;Base_CRM[[#This Row],[PL Declarado]],1,Base_CRM[[#This Row],[PL Tailor]]/Base_CRM[[#This Row],[PL Declarado]]),0)</f>
        <v>1</v>
      </c>
      <c r="P84" s="11" t="str">
        <f>IF(Base_CRM[[#This Row],[Estado Civil]]="","PESSOA JURÍDICA","PESSOA FÍSICA")</f>
        <v>PESSOA FÍSICA</v>
      </c>
      <c r="Q84" t="str">
        <f>_xlfn.XLOOKUP(Base_CRM[[#This Row],[Cód do Cliente]],'[1]F &amp; O'!$A:$A,'[1]F &amp; O'!$F:$F,_xlfn.XLOOKUP(Base_CRM[[#This Row],[Assessor]],[1]DePara!$A:$A,[1]DePara!$D:$D,"Outros",0,1),0,1)</f>
        <v>Adonias Noronha</v>
      </c>
      <c r="R84" s="11" t="str">
        <f>_xlfn.XLOOKUP(Base_CRM[[#This Row],[Cód do Cliente]],'[1]F &amp; O'!$A:$A,'[1]F &amp; O'!D:D,"Sem Finder",0,1)</f>
        <v>Sem Finder</v>
      </c>
      <c r="S84" s="11" t="str">
        <f>_xlfn.XLOOKUP(Base_CRM[[#This Row],[Cód do Cliente]],'[1]F &amp; O'!$A:$A,'[1]F &amp; O'!E:E,"Sem Canal",0,1)</f>
        <v>Sem Canal</v>
      </c>
      <c r="T84" s="11" t="str">
        <f t="shared" si="1"/>
        <v>Cliente XP</v>
      </c>
    </row>
    <row r="85" spans="1:20" x14ac:dyDescent="0.3">
      <c r="A85">
        <v>14521121</v>
      </c>
      <c r="B85" s="8" t="s">
        <v>267</v>
      </c>
      <c r="C85" s="9" t="s">
        <v>74</v>
      </c>
      <c r="D85" s="8">
        <v>337273.22</v>
      </c>
      <c r="E85">
        <v>420000</v>
      </c>
      <c r="F85" t="s">
        <v>29</v>
      </c>
      <c r="G85" t="s">
        <v>127</v>
      </c>
      <c r="H85" s="10">
        <v>12224</v>
      </c>
      <c r="I85" s="10" t="s">
        <v>24</v>
      </c>
      <c r="K85" t="s">
        <v>250</v>
      </c>
      <c r="L85" t="s">
        <v>268</v>
      </c>
      <c r="N85" s="11" t="str">
        <f>Base_CRM[[#This Row],[Cidade]]&amp;"/"&amp;Base_CRM[[#This Row],[Estado]]</f>
        <v>RIO DE JANEIRO/</v>
      </c>
      <c r="O85" s="12">
        <f>IFERROR(IF(Base_CRM[[#This Row],[PL Tailor]]&gt;Base_CRM[[#This Row],[PL Declarado]],1,Base_CRM[[#This Row],[PL Tailor]]/Base_CRM[[#This Row],[PL Declarado]]),0)</f>
        <v>0.8030314761904761</v>
      </c>
      <c r="P85" s="11" t="str">
        <f>IF(Base_CRM[[#This Row],[Estado Civil]]="","PESSOA JURÍDICA","PESSOA FÍSICA")</f>
        <v>PESSOA FÍSICA</v>
      </c>
      <c r="Q85" t="str">
        <f>_xlfn.XLOOKUP(Base_CRM[[#This Row],[Cód do Cliente]],'[1]F &amp; O'!$A:$A,'[1]F &amp; O'!$F:$F,_xlfn.XLOOKUP(Base_CRM[[#This Row],[Assessor]],[1]DePara!$A:$A,[1]DePara!$D:$D,"Outros",0,1),0,1)</f>
        <v>Thayane Freitas</v>
      </c>
      <c r="R85" s="11" t="str">
        <f>_xlfn.XLOOKUP(Base_CRM[[#This Row],[Cód do Cliente]],'[1]F &amp; O'!$A:$A,'[1]F &amp; O'!D:D,"Sem Finder",0,1)</f>
        <v>Sem Finder</v>
      </c>
      <c r="S85" s="11" t="str">
        <f>_xlfn.XLOOKUP(Base_CRM[[#This Row],[Cód do Cliente]],'[1]F &amp; O'!$A:$A,'[1]F &amp; O'!E:E,"Sem Canal",0,1)</f>
        <v>Sem Canal</v>
      </c>
      <c r="T85" s="11" t="str">
        <f t="shared" si="1"/>
        <v>Cliente XP</v>
      </c>
    </row>
    <row r="86" spans="1:20" x14ac:dyDescent="0.3">
      <c r="A86">
        <v>14530037</v>
      </c>
      <c r="B86" s="8" t="s">
        <v>269</v>
      </c>
      <c r="C86" s="9" t="s">
        <v>21</v>
      </c>
      <c r="D86" s="8">
        <v>0</v>
      </c>
      <c r="E86">
        <v>50000</v>
      </c>
      <c r="F86" t="s">
        <v>40</v>
      </c>
      <c r="G86" t="s">
        <v>52</v>
      </c>
      <c r="H86" s="10">
        <v>35412</v>
      </c>
      <c r="I86" s="10" t="s">
        <v>24</v>
      </c>
      <c r="K86" t="s">
        <v>25</v>
      </c>
      <c r="L86" t="s">
        <v>270</v>
      </c>
      <c r="N86" s="11" t="str">
        <f>Base_CRM[[#This Row],[Cidade]]&amp;"/"&amp;Base_CRM[[#This Row],[Estado]]</f>
        <v>RIO DE JANEIRO/</v>
      </c>
      <c r="O86" s="12">
        <f>IFERROR(IF(Base_CRM[[#This Row],[PL Tailor]]&gt;Base_CRM[[#This Row],[PL Declarado]],1,Base_CRM[[#This Row],[PL Tailor]]/Base_CRM[[#This Row],[PL Declarado]]),0)</f>
        <v>0</v>
      </c>
      <c r="P86" s="11" t="str">
        <f>IF(Base_CRM[[#This Row],[Estado Civil]]="","PESSOA JURÍDICA","PESSOA FÍSICA")</f>
        <v>PESSOA FÍSICA</v>
      </c>
      <c r="Q86" t="str">
        <f>_xlfn.XLOOKUP(Base_CRM[[#This Row],[Cód do Cliente]],'[1]F &amp; O'!$A:$A,'[1]F &amp; O'!$F:$F,_xlfn.XLOOKUP(Base_CRM[[#This Row],[Assessor]],[1]DePara!$A:$A,[1]DePara!$D:$D,"Outros",0,1),0,1)</f>
        <v>Leonardo Burle</v>
      </c>
      <c r="R86" s="11" t="str">
        <f>_xlfn.XLOOKUP(Base_CRM[[#This Row],[Cód do Cliente]],'[1]F &amp; O'!$A:$A,'[1]F &amp; O'!D:D,"Sem Finder",0,1)</f>
        <v>Sem Finder</v>
      </c>
      <c r="S86" s="11" t="str">
        <f>_xlfn.XLOOKUP(Base_CRM[[#This Row],[Cód do Cliente]],'[1]F &amp; O'!$A:$A,'[1]F &amp; O'!E:E,"Sem Canal",0,1)</f>
        <v>Sem Canal</v>
      </c>
      <c r="T86" s="11" t="str">
        <f t="shared" si="1"/>
        <v>Cliente XP</v>
      </c>
    </row>
    <row r="87" spans="1:20" x14ac:dyDescent="0.3">
      <c r="A87">
        <v>14560065</v>
      </c>
      <c r="B87" s="8" t="s">
        <v>271</v>
      </c>
      <c r="C87" s="9" t="s">
        <v>39</v>
      </c>
      <c r="D87" s="8">
        <v>249522.87</v>
      </c>
      <c r="E87">
        <v>1500000</v>
      </c>
      <c r="F87" t="s">
        <v>22</v>
      </c>
      <c r="G87" t="s">
        <v>71</v>
      </c>
      <c r="H87" s="10">
        <v>22066</v>
      </c>
      <c r="I87" s="10" t="s">
        <v>31</v>
      </c>
      <c r="K87" t="s">
        <v>42</v>
      </c>
      <c r="L87" t="s">
        <v>272</v>
      </c>
      <c r="N87" s="11" t="str">
        <f>Base_CRM[[#This Row],[Cidade]]&amp;"/"&amp;Base_CRM[[#This Row],[Estado]]</f>
        <v>SAO PAULO/</v>
      </c>
      <c r="O87" s="12">
        <f>IFERROR(IF(Base_CRM[[#This Row],[PL Tailor]]&gt;Base_CRM[[#This Row],[PL Declarado]],1,Base_CRM[[#This Row],[PL Tailor]]/Base_CRM[[#This Row],[PL Declarado]]),0)</f>
        <v>0.16634858</v>
      </c>
      <c r="P87" s="11" t="str">
        <f>IF(Base_CRM[[#This Row],[Estado Civil]]="","PESSOA JURÍDICA","PESSOA FÍSICA")</f>
        <v>PESSOA FÍSICA</v>
      </c>
      <c r="Q87" t="str">
        <f>_xlfn.XLOOKUP(Base_CRM[[#This Row],[Cód do Cliente]],'[1]F &amp; O'!$A:$A,'[1]F &amp; O'!$F:$F,_xlfn.XLOOKUP(Base_CRM[[#This Row],[Assessor]],[1]DePara!$A:$A,[1]DePara!$D:$D,"Outros",0,1),0,1)</f>
        <v>Gestora</v>
      </c>
      <c r="R87" s="11" t="str">
        <f>_xlfn.XLOOKUP(Base_CRM[[#This Row],[Cód do Cliente]],'[1]F &amp; O'!$A:$A,'[1]F &amp; O'!D:D,"Sem Finder",0,1)</f>
        <v>Sem Finder</v>
      </c>
      <c r="S87" s="11" t="str">
        <f>_xlfn.XLOOKUP(Base_CRM[[#This Row],[Cód do Cliente]],'[1]F &amp; O'!$A:$A,'[1]F &amp; O'!E:E,"Sem Canal",0,1)</f>
        <v>Gestora</v>
      </c>
      <c r="T87" s="11" t="str">
        <f t="shared" si="1"/>
        <v>Cliente XP</v>
      </c>
    </row>
    <row r="88" spans="1:20" x14ac:dyDescent="0.3">
      <c r="A88">
        <v>14560693</v>
      </c>
      <c r="B88" s="8" t="s">
        <v>273</v>
      </c>
      <c r="C88" s="9" t="s">
        <v>21</v>
      </c>
      <c r="D88" s="8">
        <v>939370.04</v>
      </c>
      <c r="E88">
        <v>732000</v>
      </c>
      <c r="F88" t="s">
        <v>29</v>
      </c>
      <c r="G88" t="s">
        <v>96</v>
      </c>
      <c r="H88" s="10">
        <v>34010</v>
      </c>
      <c r="I88" s="10" t="s">
        <v>24</v>
      </c>
      <c r="K88" t="s">
        <v>25</v>
      </c>
      <c r="L88" t="s">
        <v>274</v>
      </c>
      <c r="M88" t="s">
        <v>60</v>
      </c>
      <c r="N88" s="11" t="str">
        <f>Base_CRM[[#This Row],[Cidade]]&amp;"/"&amp;Base_CRM[[#This Row],[Estado]]</f>
        <v>RIO DE JANEIRO/</v>
      </c>
      <c r="O88" s="12">
        <f>IFERROR(IF(Base_CRM[[#This Row],[PL Tailor]]&gt;Base_CRM[[#This Row],[PL Declarado]],1,Base_CRM[[#This Row],[PL Tailor]]/Base_CRM[[#This Row],[PL Declarado]]),0)</f>
        <v>1</v>
      </c>
      <c r="P88" s="11" t="str">
        <f>IF(Base_CRM[[#This Row],[Estado Civil]]="","PESSOA JURÍDICA","PESSOA FÍSICA")</f>
        <v>PESSOA FÍSICA</v>
      </c>
      <c r="Q88" t="str">
        <f>_xlfn.XLOOKUP(Base_CRM[[#This Row],[Cód do Cliente]],'[1]F &amp; O'!$A:$A,'[1]F &amp; O'!$F:$F,_xlfn.XLOOKUP(Base_CRM[[#This Row],[Assessor]],[1]DePara!$A:$A,[1]DePara!$D:$D,"Outros",0,1),0,1)</f>
        <v>Leonardo Burle</v>
      </c>
      <c r="R88" s="11" t="str">
        <f>_xlfn.XLOOKUP(Base_CRM[[#This Row],[Cód do Cliente]],'[1]F &amp; O'!$A:$A,'[1]F &amp; O'!D:D,"Sem Finder",0,1)</f>
        <v>Sem Finder</v>
      </c>
      <c r="S88" s="11" t="str">
        <f>_xlfn.XLOOKUP(Base_CRM[[#This Row],[Cód do Cliente]],'[1]F &amp; O'!$A:$A,'[1]F &amp; O'!E:E,"Sem Canal",0,1)</f>
        <v>Sem Canal</v>
      </c>
      <c r="T88" s="11" t="str">
        <f t="shared" si="1"/>
        <v>Cliente XP</v>
      </c>
    </row>
    <row r="89" spans="1:20" x14ac:dyDescent="0.3">
      <c r="A89">
        <v>14577896</v>
      </c>
      <c r="B89" s="8" t="s">
        <v>275</v>
      </c>
      <c r="C89" s="9" t="s">
        <v>39</v>
      </c>
      <c r="D89" s="8">
        <v>294837.19</v>
      </c>
      <c r="E89">
        <v>111000</v>
      </c>
      <c r="F89" t="s">
        <v>40</v>
      </c>
      <c r="G89" t="s">
        <v>35</v>
      </c>
      <c r="H89" s="10">
        <v>30314</v>
      </c>
      <c r="I89" s="10" t="s">
        <v>31</v>
      </c>
      <c r="K89" t="s">
        <v>25</v>
      </c>
      <c r="L89" t="s">
        <v>276</v>
      </c>
      <c r="N89" s="11" t="str">
        <f>Base_CRM[[#This Row],[Cidade]]&amp;"/"&amp;Base_CRM[[#This Row],[Estado]]</f>
        <v>SAO PAULO/</v>
      </c>
      <c r="O89" s="12">
        <f>IFERROR(IF(Base_CRM[[#This Row],[PL Tailor]]&gt;Base_CRM[[#This Row],[PL Declarado]],1,Base_CRM[[#This Row],[PL Tailor]]/Base_CRM[[#This Row],[PL Declarado]]),0)</f>
        <v>1</v>
      </c>
      <c r="P89" s="11" t="str">
        <f>IF(Base_CRM[[#This Row],[Estado Civil]]="","PESSOA JURÍDICA","PESSOA FÍSICA")</f>
        <v>PESSOA FÍSICA</v>
      </c>
      <c r="Q89" t="str">
        <f>_xlfn.XLOOKUP(Base_CRM[[#This Row],[Cód do Cliente]],'[1]F &amp; O'!$A:$A,'[1]F &amp; O'!$F:$F,_xlfn.XLOOKUP(Base_CRM[[#This Row],[Assessor]],[1]DePara!$A:$A,[1]DePara!$D:$D,"Outros",0,1),0,1)</f>
        <v>Gestora</v>
      </c>
      <c r="R89" s="11" t="str">
        <f>_xlfn.XLOOKUP(Base_CRM[[#This Row],[Cód do Cliente]],'[1]F &amp; O'!$A:$A,'[1]F &amp; O'!D:D,"Sem Finder",0,1)</f>
        <v>Sem Finder</v>
      </c>
      <c r="S89" s="11" t="str">
        <f>_xlfn.XLOOKUP(Base_CRM[[#This Row],[Cód do Cliente]],'[1]F &amp; O'!$A:$A,'[1]F &amp; O'!E:E,"Sem Canal",0,1)</f>
        <v>Gestora</v>
      </c>
      <c r="T89" s="11" t="str">
        <f t="shared" si="1"/>
        <v>Cliente XP</v>
      </c>
    </row>
    <row r="90" spans="1:20" x14ac:dyDescent="0.3">
      <c r="A90">
        <v>14593775</v>
      </c>
      <c r="B90" s="8" t="s">
        <v>277</v>
      </c>
      <c r="C90" s="9" t="s">
        <v>48</v>
      </c>
      <c r="D90" s="8">
        <v>6745879.2599999998</v>
      </c>
      <c r="E90">
        <v>15000000</v>
      </c>
      <c r="F90" t="s">
        <v>22</v>
      </c>
      <c r="G90" t="s">
        <v>87</v>
      </c>
      <c r="H90" s="10">
        <v>18881</v>
      </c>
      <c r="I90" s="10" t="s">
        <v>24</v>
      </c>
      <c r="K90" t="s">
        <v>25</v>
      </c>
      <c r="L90" t="s">
        <v>278</v>
      </c>
      <c r="M90" t="s">
        <v>64</v>
      </c>
      <c r="N90" s="11" t="str">
        <f>Base_CRM[[#This Row],[Cidade]]&amp;"/"&amp;Base_CRM[[#This Row],[Estado]]</f>
        <v>RIO DE JANEIRO/</v>
      </c>
      <c r="O90" s="12">
        <f>IFERROR(IF(Base_CRM[[#This Row],[PL Tailor]]&gt;Base_CRM[[#This Row],[PL Declarado]],1,Base_CRM[[#This Row],[PL Tailor]]/Base_CRM[[#This Row],[PL Declarado]]),0)</f>
        <v>0.449725284</v>
      </c>
      <c r="P90" s="11" t="str">
        <f>IF(Base_CRM[[#This Row],[Estado Civil]]="","PESSOA JURÍDICA","PESSOA FÍSICA")</f>
        <v>PESSOA FÍSICA</v>
      </c>
      <c r="Q90" t="str">
        <f>_xlfn.XLOOKUP(Base_CRM[[#This Row],[Cód do Cliente]],'[1]F &amp; O'!$A:$A,'[1]F &amp; O'!$F:$F,_xlfn.XLOOKUP(Base_CRM[[#This Row],[Assessor]],[1]DePara!$A:$A,[1]DePara!$D:$D,"Outros",0,1),0,1)</f>
        <v>Raphael Farias</v>
      </c>
      <c r="R90" s="11" t="str">
        <f>_xlfn.XLOOKUP(Base_CRM[[#This Row],[Cód do Cliente]],'[1]F &amp; O'!$A:$A,'[1]F &amp; O'!D:D,"Sem Finder",0,1)</f>
        <v>Sem Finder</v>
      </c>
      <c r="S90" s="11" t="str">
        <f>_xlfn.XLOOKUP(Base_CRM[[#This Row],[Cód do Cliente]],'[1]F &amp; O'!$A:$A,'[1]F &amp; O'!E:E,"Sem Canal",0,1)</f>
        <v>Sem Canal</v>
      </c>
      <c r="T90" s="11" t="str">
        <f t="shared" si="1"/>
        <v>Cliente XP</v>
      </c>
    </row>
    <row r="91" spans="1:20" x14ac:dyDescent="0.3">
      <c r="A91">
        <v>14631544</v>
      </c>
      <c r="B91" s="8" t="s">
        <v>279</v>
      </c>
      <c r="C91" s="9" t="s">
        <v>48</v>
      </c>
      <c r="D91" s="8">
        <v>947777.95</v>
      </c>
      <c r="E91">
        <v>1500000</v>
      </c>
      <c r="F91" t="s">
        <v>22</v>
      </c>
      <c r="G91" t="s">
        <v>228</v>
      </c>
      <c r="H91" s="10">
        <v>31764</v>
      </c>
      <c r="I91" s="10" t="s">
        <v>62</v>
      </c>
      <c r="K91" t="s">
        <v>42</v>
      </c>
      <c r="L91" t="s">
        <v>280</v>
      </c>
      <c r="N91" s="11" t="str">
        <f>Base_CRM[[#This Row],[Cidade]]&amp;"/"&amp;Base_CRM[[#This Row],[Estado]]</f>
        <v>Rio de Janeiro/</v>
      </c>
      <c r="O91" s="12">
        <f>IFERROR(IF(Base_CRM[[#This Row],[PL Tailor]]&gt;Base_CRM[[#This Row],[PL Declarado]],1,Base_CRM[[#This Row],[PL Tailor]]/Base_CRM[[#This Row],[PL Declarado]]),0)</f>
        <v>0.63185196666666665</v>
      </c>
      <c r="P91" s="11" t="str">
        <f>IF(Base_CRM[[#This Row],[Estado Civil]]="","PESSOA JURÍDICA","PESSOA FÍSICA")</f>
        <v>PESSOA FÍSICA</v>
      </c>
      <c r="Q91" t="str">
        <f>_xlfn.XLOOKUP(Base_CRM[[#This Row],[Cód do Cliente]],'[1]F &amp; O'!$A:$A,'[1]F &amp; O'!$F:$F,_xlfn.XLOOKUP(Base_CRM[[#This Row],[Assessor]],[1]DePara!$A:$A,[1]DePara!$D:$D,"Outros",0,1),0,1)</f>
        <v>Raphael Farias</v>
      </c>
      <c r="R91" s="11" t="str">
        <f>_xlfn.XLOOKUP(Base_CRM[[#This Row],[Cód do Cliente]],'[1]F &amp; O'!$A:$A,'[1]F &amp; O'!D:D,"Sem Finder",0,1)</f>
        <v>Sem Finder</v>
      </c>
      <c r="S91" s="11" t="str">
        <f>_xlfn.XLOOKUP(Base_CRM[[#This Row],[Cód do Cliente]],'[1]F &amp; O'!$A:$A,'[1]F &amp; O'!E:E,"Sem Canal",0,1)</f>
        <v>Sem Canal</v>
      </c>
      <c r="T91" s="11" t="str">
        <f t="shared" si="1"/>
        <v>Cliente XP</v>
      </c>
    </row>
    <row r="92" spans="1:20" x14ac:dyDescent="0.3">
      <c r="A92">
        <v>14665227</v>
      </c>
      <c r="B92" s="8" t="s">
        <v>281</v>
      </c>
      <c r="C92" s="9" t="s">
        <v>74</v>
      </c>
      <c r="D92" s="8">
        <v>3792.82</v>
      </c>
      <c r="E92">
        <v>1000</v>
      </c>
      <c r="F92" t="s">
        <v>92</v>
      </c>
      <c r="G92" t="s">
        <v>87</v>
      </c>
      <c r="H92" s="10">
        <v>37497</v>
      </c>
      <c r="I92" s="10" t="s">
        <v>282</v>
      </c>
      <c r="K92" t="s">
        <v>25</v>
      </c>
      <c r="L92" t="s">
        <v>283</v>
      </c>
      <c r="N92" s="11" t="str">
        <f>Base_CRM[[#This Row],[Cidade]]&amp;"/"&amp;Base_CRM[[#This Row],[Estado]]</f>
        <v>SANTOS/</v>
      </c>
      <c r="O92" s="12">
        <f>IFERROR(IF(Base_CRM[[#This Row],[PL Tailor]]&gt;Base_CRM[[#This Row],[PL Declarado]],1,Base_CRM[[#This Row],[PL Tailor]]/Base_CRM[[#This Row],[PL Declarado]]),0)</f>
        <v>1</v>
      </c>
      <c r="P92" s="11" t="str">
        <f>IF(Base_CRM[[#This Row],[Estado Civil]]="","PESSOA JURÍDICA","PESSOA FÍSICA")</f>
        <v>PESSOA FÍSICA</v>
      </c>
      <c r="Q92" t="str">
        <f>_xlfn.XLOOKUP(Base_CRM[[#This Row],[Cód do Cliente]],'[1]F &amp; O'!$A:$A,'[1]F &amp; O'!$F:$F,_xlfn.XLOOKUP(Base_CRM[[#This Row],[Assessor]],[1]DePara!$A:$A,[1]DePara!$D:$D,"Outros",0,1),0,1)</f>
        <v>Thayane Freitas</v>
      </c>
      <c r="R92" s="11" t="str">
        <f>_xlfn.XLOOKUP(Base_CRM[[#This Row],[Cód do Cliente]],'[1]F &amp; O'!$A:$A,'[1]F &amp; O'!D:D,"Sem Finder",0,1)</f>
        <v>Sem Finder</v>
      </c>
      <c r="S92" s="11" t="str">
        <f>_xlfn.XLOOKUP(Base_CRM[[#This Row],[Cód do Cliente]],'[1]F &amp; O'!$A:$A,'[1]F &amp; O'!E:E,"Sem Canal",0,1)</f>
        <v>Sem Canal</v>
      </c>
      <c r="T92" s="11" t="str">
        <f t="shared" si="1"/>
        <v>Cliente XP</v>
      </c>
    </row>
    <row r="93" spans="1:20" x14ac:dyDescent="0.3">
      <c r="A93">
        <v>14753352</v>
      </c>
      <c r="B93" s="8" t="s">
        <v>284</v>
      </c>
      <c r="C93" s="9" t="s">
        <v>39</v>
      </c>
      <c r="D93" s="8">
        <v>626598.56000000006</v>
      </c>
      <c r="E93">
        <v>1000000</v>
      </c>
      <c r="F93" t="s">
        <v>22</v>
      </c>
      <c r="G93" t="s">
        <v>87</v>
      </c>
      <c r="H93" s="10">
        <v>32434</v>
      </c>
      <c r="I93" s="10" t="s">
        <v>285</v>
      </c>
      <c r="K93" t="s">
        <v>42</v>
      </c>
      <c r="L93" t="s">
        <v>286</v>
      </c>
      <c r="N93" s="11" t="str">
        <f>Base_CRM[[#This Row],[Cidade]]&amp;"/"&amp;Base_CRM[[#This Row],[Estado]]</f>
        <v>SANTANA DE PARNAIBA/</v>
      </c>
      <c r="O93" s="12">
        <f>IFERROR(IF(Base_CRM[[#This Row],[PL Tailor]]&gt;Base_CRM[[#This Row],[PL Declarado]],1,Base_CRM[[#This Row],[PL Tailor]]/Base_CRM[[#This Row],[PL Declarado]]),0)</f>
        <v>0.62659856000000003</v>
      </c>
      <c r="P93" s="11" t="str">
        <f>IF(Base_CRM[[#This Row],[Estado Civil]]="","PESSOA JURÍDICA","PESSOA FÍSICA")</f>
        <v>PESSOA FÍSICA</v>
      </c>
      <c r="Q93" t="str">
        <f>_xlfn.XLOOKUP(Base_CRM[[#This Row],[Cód do Cliente]],'[1]F &amp; O'!$A:$A,'[1]F &amp; O'!$F:$F,_xlfn.XLOOKUP(Base_CRM[[#This Row],[Assessor]],[1]DePara!$A:$A,[1]DePara!$D:$D,"Outros",0,1),0,1)</f>
        <v>Gestora</v>
      </c>
      <c r="R93" s="11" t="str">
        <f>_xlfn.XLOOKUP(Base_CRM[[#This Row],[Cód do Cliente]],'[1]F &amp; O'!$A:$A,'[1]F &amp; O'!D:D,"Sem Finder",0,1)</f>
        <v>Sem Finder</v>
      </c>
      <c r="S93" s="11" t="str">
        <f>_xlfn.XLOOKUP(Base_CRM[[#This Row],[Cód do Cliente]],'[1]F &amp; O'!$A:$A,'[1]F &amp; O'!E:E,"Sem Canal",0,1)</f>
        <v>Gestora</v>
      </c>
      <c r="T93" s="11" t="str">
        <f t="shared" si="1"/>
        <v>Cliente XP</v>
      </c>
    </row>
    <row r="94" spans="1:20" x14ac:dyDescent="0.3">
      <c r="A94">
        <v>14827991</v>
      </c>
      <c r="B94" s="8" t="s">
        <v>287</v>
      </c>
      <c r="C94" s="9" t="s">
        <v>74</v>
      </c>
      <c r="D94" s="8">
        <v>15706.87</v>
      </c>
      <c r="E94">
        <v>10000</v>
      </c>
      <c r="F94" t="s">
        <v>29</v>
      </c>
      <c r="G94" t="s">
        <v>181</v>
      </c>
      <c r="H94" s="10">
        <v>30278</v>
      </c>
      <c r="I94" s="10" t="s">
        <v>288</v>
      </c>
      <c r="K94" t="s">
        <v>25</v>
      </c>
      <c r="L94" t="s">
        <v>289</v>
      </c>
      <c r="N94" s="11" t="str">
        <f>Base_CRM[[#This Row],[Cidade]]&amp;"/"&amp;Base_CRM[[#This Row],[Estado]]</f>
        <v>MARAU/</v>
      </c>
      <c r="O94" s="12">
        <f>IFERROR(IF(Base_CRM[[#This Row],[PL Tailor]]&gt;Base_CRM[[#This Row],[PL Declarado]],1,Base_CRM[[#This Row],[PL Tailor]]/Base_CRM[[#This Row],[PL Declarado]]),0)</f>
        <v>1</v>
      </c>
      <c r="P94" s="11" t="str">
        <f>IF(Base_CRM[[#This Row],[Estado Civil]]="","PESSOA JURÍDICA","PESSOA FÍSICA")</f>
        <v>PESSOA FÍSICA</v>
      </c>
      <c r="Q94" t="str">
        <f>_xlfn.XLOOKUP(Base_CRM[[#This Row],[Cód do Cliente]],'[1]F &amp; O'!$A:$A,'[1]F &amp; O'!$F:$F,_xlfn.XLOOKUP(Base_CRM[[#This Row],[Assessor]],[1]DePara!$A:$A,[1]DePara!$D:$D,"Outros",0,1),0,1)</f>
        <v>Thayane Freitas</v>
      </c>
      <c r="R94" s="11" t="str">
        <f>_xlfn.XLOOKUP(Base_CRM[[#This Row],[Cód do Cliente]],'[1]F &amp; O'!$A:$A,'[1]F &amp; O'!D:D,"Sem Finder",0,1)</f>
        <v>Sem Finder</v>
      </c>
      <c r="S94" s="11" t="str">
        <f>_xlfn.XLOOKUP(Base_CRM[[#This Row],[Cód do Cliente]],'[1]F &amp; O'!$A:$A,'[1]F &amp; O'!E:E,"Sem Canal",0,1)</f>
        <v>Sem Canal</v>
      </c>
      <c r="T94" s="11" t="str">
        <f t="shared" si="1"/>
        <v>Cliente XP</v>
      </c>
    </row>
    <row r="95" spans="1:20" x14ac:dyDescent="0.3">
      <c r="A95">
        <v>14852657</v>
      </c>
      <c r="B95" s="8" t="s">
        <v>290</v>
      </c>
      <c r="C95" s="9" t="s">
        <v>74</v>
      </c>
      <c r="D95" s="8">
        <v>0</v>
      </c>
      <c r="E95">
        <v>10000</v>
      </c>
      <c r="F95" t="s">
        <v>29</v>
      </c>
      <c r="G95" t="s">
        <v>291</v>
      </c>
      <c r="H95" s="10">
        <v>28867</v>
      </c>
      <c r="I95" s="10" t="s">
        <v>24</v>
      </c>
      <c r="K95" t="s">
        <v>25</v>
      </c>
      <c r="L95" t="s">
        <v>292</v>
      </c>
      <c r="M95" t="s">
        <v>90</v>
      </c>
      <c r="N95" s="11" t="str">
        <f>Base_CRM[[#This Row],[Cidade]]&amp;"/"&amp;Base_CRM[[#This Row],[Estado]]</f>
        <v>RIO DE JANEIRO/</v>
      </c>
      <c r="O95" s="12">
        <f>IFERROR(IF(Base_CRM[[#This Row],[PL Tailor]]&gt;Base_CRM[[#This Row],[PL Declarado]],1,Base_CRM[[#This Row],[PL Tailor]]/Base_CRM[[#This Row],[PL Declarado]]),0)</f>
        <v>0</v>
      </c>
      <c r="P95" s="11" t="str">
        <f>IF(Base_CRM[[#This Row],[Estado Civil]]="","PESSOA JURÍDICA","PESSOA FÍSICA")</f>
        <v>PESSOA FÍSICA</v>
      </c>
      <c r="Q95" t="str">
        <f>_xlfn.XLOOKUP(Base_CRM[[#This Row],[Cód do Cliente]],'[1]F &amp; O'!$A:$A,'[1]F &amp; O'!$F:$F,_xlfn.XLOOKUP(Base_CRM[[#This Row],[Assessor]],[1]DePara!$A:$A,[1]DePara!$D:$D,"Outros",0,1),0,1)</f>
        <v>Thayane Freitas</v>
      </c>
      <c r="R95" s="11" t="str">
        <f>_xlfn.XLOOKUP(Base_CRM[[#This Row],[Cód do Cliente]],'[1]F &amp; O'!$A:$A,'[1]F &amp; O'!D:D,"Sem Finder",0,1)</f>
        <v>Sem Finder</v>
      </c>
      <c r="S95" s="11" t="str">
        <f>_xlfn.XLOOKUP(Base_CRM[[#This Row],[Cód do Cliente]],'[1]F &amp; O'!$A:$A,'[1]F &amp; O'!E:E,"Sem Canal",0,1)</f>
        <v>Sem Canal</v>
      </c>
      <c r="T95" s="11" t="str">
        <f t="shared" si="1"/>
        <v>Cliente XP</v>
      </c>
    </row>
    <row r="96" spans="1:20" x14ac:dyDescent="0.3">
      <c r="A96">
        <v>14867268</v>
      </c>
      <c r="B96" s="8" t="s">
        <v>293</v>
      </c>
      <c r="C96" s="9" t="s">
        <v>66</v>
      </c>
      <c r="D96" s="8">
        <v>1761242.19</v>
      </c>
      <c r="E96">
        <v>2000000</v>
      </c>
      <c r="F96" t="s">
        <v>22</v>
      </c>
      <c r="G96" t="s">
        <v>35</v>
      </c>
      <c r="H96" s="10">
        <v>27645</v>
      </c>
      <c r="I96" s="10" t="s">
        <v>115</v>
      </c>
      <c r="K96" t="s">
        <v>42</v>
      </c>
      <c r="L96" t="s">
        <v>294</v>
      </c>
      <c r="M96" t="s">
        <v>295</v>
      </c>
      <c r="N96" s="11" t="str">
        <f>Base_CRM[[#This Row],[Cidade]]&amp;"/"&amp;Base_CRM[[#This Row],[Estado]]</f>
        <v>BARUERI/</v>
      </c>
      <c r="O96" s="12">
        <f>IFERROR(IF(Base_CRM[[#This Row],[PL Tailor]]&gt;Base_CRM[[#This Row],[PL Declarado]],1,Base_CRM[[#This Row],[PL Tailor]]/Base_CRM[[#This Row],[PL Declarado]]),0)</f>
        <v>0.88062109499999996</v>
      </c>
      <c r="P96" s="11" t="str">
        <f>IF(Base_CRM[[#This Row],[Estado Civil]]="","PESSOA JURÍDICA","PESSOA FÍSICA")</f>
        <v>PESSOA FÍSICA</v>
      </c>
      <c r="Q96" t="str">
        <f>_xlfn.XLOOKUP(Base_CRM[[#This Row],[Cód do Cliente]],'[1]F &amp; O'!$A:$A,'[1]F &amp; O'!$F:$F,_xlfn.XLOOKUP(Base_CRM[[#This Row],[Assessor]],[1]DePara!$A:$A,[1]DePara!$D:$D,"Outros",0,1),0,1)</f>
        <v>Caroline Vlavianos</v>
      </c>
      <c r="R96" s="11" t="str">
        <f>_xlfn.XLOOKUP(Base_CRM[[#This Row],[Cód do Cliente]],'[1]F &amp; O'!$A:$A,'[1]F &amp; O'!D:D,"Sem Finder",0,1)</f>
        <v>Sem Finder</v>
      </c>
      <c r="S96" s="11" t="str">
        <f>_xlfn.XLOOKUP(Base_CRM[[#This Row],[Cód do Cliente]],'[1]F &amp; O'!$A:$A,'[1]F &amp; O'!E:E,"Sem Canal",0,1)</f>
        <v>Sem Canal</v>
      </c>
      <c r="T96" s="11" t="str">
        <f t="shared" si="1"/>
        <v>Cliente XP</v>
      </c>
    </row>
    <row r="97" spans="1:20" x14ac:dyDescent="0.3">
      <c r="A97">
        <v>14893702</v>
      </c>
      <c r="B97" s="8" t="s">
        <v>149</v>
      </c>
      <c r="C97" s="9" t="s">
        <v>66</v>
      </c>
      <c r="D97" s="8">
        <v>0</v>
      </c>
      <c r="E97">
        <v>5000000</v>
      </c>
      <c r="F97" t="s">
        <v>22</v>
      </c>
      <c r="G97" t="s">
        <v>67</v>
      </c>
      <c r="H97" s="10">
        <v>32000</v>
      </c>
      <c r="I97" s="10" t="s">
        <v>31</v>
      </c>
      <c r="K97" t="s">
        <v>42</v>
      </c>
      <c r="L97" t="s">
        <v>150</v>
      </c>
      <c r="M97" t="s">
        <v>60</v>
      </c>
      <c r="N97" s="11" t="str">
        <f>Base_CRM[[#This Row],[Cidade]]&amp;"/"&amp;Base_CRM[[#This Row],[Estado]]</f>
        <v>SAO PAULO/</v>
      </c>
      <c r="O97" s="12">
        <f>IFERROR(IF(Base_CRM[[#This Row],[PL Tailor]]&gt;Base_CRM[[#This Row],[PL Declarado]],1,Base_CRM[[#This Row],[PL Tailor]]/Base_CRM[[#This Row],[PL Declarado]]),0)</f>
        <v>0</v>
      </c>
      <c r="P97" s="11" t="str">
        <f>IF(Base_CRM[[#This Row],[Estado Civil]]="","PESSOA JURÍDICA","PESSOA FÍSICA")</f>
        <v>PESSOA FÍSICA</v>
      </c>
      <c r="Q97" t="str">
        <f>_xlfn.XLOOKUP(Base_CRM[[#This Row],[Cód do Cliente]],'[1]F &amp; O'!$A:$A,'[1]F &amp; O'!$F:$F,_xlfn.XLOOKUP(Base_CRM[[#This Row],[Assessor]],[1]DePara!$A:$A,[1]DePara!$D:$D,"Outros",0,1),0,1)</f>
        <v>Caroline Vlavianos</v>
      </c>
      <c r="R97" s="11" t="str">
        <f>_xlfn.XLOOKUP(Base_CRM[[#This Row],[Cód do Cliente]],'[1]F &amp; O'!$A:$A,'[1]F &amp; O'!D:D,"Sem Finder",0,1)</f>
        <v>Sem Finder</v>
      </c>
      <c r="S97" s="11" t="str">
        <f>_xlfn.XLOOKUP(Base_CRM[[#This Row],[Cód do Cliente]],'[1]F &amp; O'!$A:$A,'[1]F &amp; O'!E:E,"Sem Canal",0,1)</f>
        <v>Sem Canal</v>
      </c>
      <c r="T97" s="11" t="str">
        <f t="shared" si="1"/>
        <v>Cliente XP</v>
      </c>
    </row>
    <row r="98" spans="1:20" x14ac:dyDescent="0.3">
      <c r="A98">
        <v>14931807</v>
      </c>
      <c r="B98" s="8" t="s">
        <v>296</v>
      </c>
      <c r="C98" s="9" t="s">
        <v>74</v>
      </c>
      <c r="D98" s="8">
        <v>830.06</v>
      </c>
      <c r="E98">
        <v>2000000</v>
      </c>
      <c r="F98" t="s">
        <v>22</v>
      </c>
      <c r="G98" t="s">
        <v>67</v>
      </c>
      <c r="H98" s="10">
        <v>34396</v>
      </c>
      <c r="I98" s="10" t="s">
        <v>297</v>
      </c>
      <c r="K98" t="s">
        <v>25</v>
      </c>
      <c r="L98" t="s">
        <v>298</v>
      </c>
      <c r="N98" s="11" t="str">
        <f>Base_CRM[[#This Row],[Cidade]]&amp;"/"&amp;Base_CRM[[#This Row],[Estado]]</f>
        <v>RIO POMBA/</v>
      </c>
      <c r="O98" s="12">
        <f>IFERROR(IF(Base_CRM[[#This Row],[PL Tailor]]&gt;Base_CRM[[#This Row],[PL Declarado]],1,Base_CRM[[#This Row],[PL Tailor]]/Base_CRM[[#This Row],[PL Declarado]]),0)</f>
        <v>4.1502999999999999E-4</v>
      </c>
      <c r="P98" s="11" t="str">
        <f>IF(Base_CRM[[#This Row],[Estado Civil]]="","PESSOA JURÍDICA","PESSOA FÍSICA")</f>
        <v>PESSOA FÍSICA</v>
      </c>
      <c r="Q98" t="str">
        <f>_xlfn.XLOOKUP(Base_CRM[[#This Row],[Cód do Cliente]],'[1]F &amp; O'!$A:$A,'[1]F &amp; O'!$F:$F,_xlfn.XLOOKUP(Base_CRM[[#This Row],[Assessor]],[1]DePara!$A:$A,[1]DePara!$D:$D,"Outros",0,1),0,1)</f>
        <v>Thayane Freitas</v>
      </c>
      <c r="R98" s="11" t="str">
        <f>_xlfn.XLOOKUP(Base_CRM[[#This Row],[Cód do Cliente]],'[1]F &amp; O'!$A:$A,'[1]F &amp; O'!D:D,"Sem Finder",0,1)</f>
        <v>Sem Finder</v>
      </c>
      <c r="S98" s="11" t="str">
        <f>_xlfn.XLOOKUP(Base_CRM[[#This Row],[Cód do Cliente]],'[1]F &amp; O'!$A:$A,'[1]F &amp; O'!E:E,"Sem Canal",0,1)</f>
        <v>Sem Canal</v>
      </c>
      <c r="T98" s="11" t="str">
        <f t="shared" si="1"/>
        <v>Cliente XP</v>
      </c>
    </row>
    <row r="99" spans="1:20" x14ac:dyDescent="0.3">
      <c r="A99">
        <v>14933050</v>
      </c>
      <c r="B99" s="8" t="s">
        <v>299</v>
      </c>
      <c r="C99" s="9" t="s">
        <v>21</v>
      </c>
      <c r="D99" s="8">
        <v>132936.22</v>
      </c>
      <c r="E99">
        <v>200000</v>
      </c>
      <c r="F99" t="s">
        <v>29</v>
      </c>
      <c r="G99" t="s">
        <v>177</v>
      </c>
      <c r="H99" s="10">
        <v>35775</v>
      </c>
      <c r="I99" s="10" t="s">
        <v>31</v>
      </c>
      <c r="K99" t="s">
        <v>25</v>
      </c>
      <c r="L99" t="s">
        <v>300</v>
      </c>
      <c r="N99" s="11" t="str">
        <f>Base_CRM[[#This Row],[Cidade]]&amp;"/"&amp;Base_CRM[[#This Row],[Estado]]</f>
        <v>SAO PAULO/</v>
      </c>
      <c r="O99" s="12">
        <f>IFERROR(IF(Base_CRM[[#This Row],[PL Tailor]]&gt;Base_CRM[[#This Row],[PL Declarado]],1,Base_CRM[[#This Row],[PL Tailor]]/Base_CRM[[#This Row],[PL Declarado]]),0)</f>
        <v>0.66468110000000002</v>
      </c>
      <c r="P99" s="11" t="str">
        <f>IF(Base_CRM[[#This Row],[Estado Civil]]="","PESSOA JURÍDICA","PESSOA FÍSICA")</f>
        <v>PESSOA FÍSICA</v>
      </c>
      <c r="Q99" t="str">
        <f>_xlfn.XLOOKUP(Base_CRM[[#This Row],[Cód do Cliente]],'[1]F &amp; O'!$A:$A,'[1]F &amp; O'!$F:$F,_xlfn.XLOOKUP(Base_CRM[[#This Row],[Assessor]],[1]DePara!$A:$A,[1]DePara!$D:$D,"Outros",0,1),0,1)</f>
        <v>Leonardo Burle</v>
      </c>
      <c r="R99" s="11" t="str">
        <f>_xlfn.XLOOKUP(Base_CRM[[#This Row],[Cód do Cliente]],'[1]F &amp; O'!$A:$A,'[1]F &amp; O'!D:D,"Sem Finder",0,1)</f>
        <v>Sem Finder</v>
      </c>
      <c r="S99" s="11" t="str">
        <f>_xlfn.XLOOKUP(Base_CRM[[#This Row],[Cód do Cliente]],'[1]F &amp; O'!$A:$A,'[1]F &amp; O'!E:E,"Sem Canal",0,1)</f>
        <v>Sem Canal</v>
      </c>
      <c r="T99" s="11" t="str">
        <f t="shared" si="1"/>
        <v>Cliente XP</v>
      </c>
    </row>
    <row r="100" spans="1:20" x14ac:dyDescent="0.3">
      <c r="A100">
        <v>14947372</v>
      </c>
      <c r="B100" s="8" t="s">
        <v>301</v>
      </c>
      <c r="C100" s="9" t="s">
        <v>39</v>
      </c>
      <c r="D100" s="8">
        <v>135276.62</v>
      </c>
      <c r="E100">
        <v>1000000</v>
      </c>
      <c r="F100" t="s">
        <v>29</v>
      </c>
      <c r="G100" t="s">
        <v>67</v>
      </c>
      <c r="H100" s="10">
        <v>32501</v>
      </c>
      <c r="I100" s="10" t="s">
        <v>115</v>
      </c>
      <c r="K100" t="s">
        <v>25</v>
      </c>
      <c r="L100" t="s">
        <v>302</v>
      </c>
      <c r="N100" s="11" t="str">
        <f>Base_CRM[[#This Row],[Cidade]]&amp;"/"&amp;Base_CRM[[#This Row],[Estado]]</f>
        <v>BARUERI/</v>
      </c>
      <c r="O100" s="12">
        <f>IFERROR(IF(Base_CRM[[#This Row],[PL Tailor]]&gt;Base_CRM[[#This Row],[PL Declarado]],1,Base_CRM[[#This Row],[PL Tailor]]/Base_CRM[[#This Row],[PL Declarado]]),0)</f>
        <v>0.13527661999999999</v>
      </c>
      <c r="P100" s="11" t="str">
        <f>IF(Base_CRM[[#This Row],[Estado Civil]]="","PESSOA JURÍDICA","PESSOA FÍSICA")</f>
        <v>PESSOA FÍSICA</v>
      </c>
      <c r="Q100" t="str">
        <f>_xlfn.XLOOKUP(Base_CRM[[#This Row],[Cód do Cliente]],'[1]F &amp; O'!$A:$A,'[1]F &amp; O'!$F:$F,_xlfn.XLOOKUP(Base_CRM[[#This Row],[Assessor]],[1]DePara!$A:$A,[1]DePara!$D:$D,"Outros",0,1),0,1)</f>
        <v>Gestora</v>
      </c>
      <c r="R100" s="11" t="str">
        <f>_xlfn.XLOOKUP(Base_CRM[[#This Row],[Cód do Cliente]],'[1]F &amp; O'!$A:$A,'[1]F &amp; O'!D:D,"Sem Finder",0,1)</f>
        <v>Sem Finder</v>
      </c>
      <c r="S100" s="11" t="str">
        <f>_xlfn.XLOOKUP(Base_CRM[[#This Row],[Cód do Cliente]],'[1]F &amp; O'!$A:$A,'[1]F &amp; O'!E:E,"Sem Canal",0,1)</f>
        <v>Gestora</v>
      </c>
      <c r="T100" s="11" t="str">
        <f t="shared" si="1"/>
        <v>Cliente XP</v>
      </c>
    </row>
    <row r="101" spans="1:20" x14ac:dyDescent="0.3">
      <c r="A101">
        <v>14960722</v>
      </c>
      <c r="B101" s="8" t="s">
        <v>303</v>
      </c>
      <c r="C101" s="9" t="s">
        <v>103</v>
      </c>
      <c r="D101" s="8">
        <v>0</v>
      </c>
      <c r="E101">
        <v>8000000</v>
      </c>
      <c r="F101" t="s">
        <v>22</v>
      </c>
      <c r="G101" t="s">
        <v>96</v>
      </c>
      <c r="H101" s="10">
        <v>32869</v>
      </c>
      <c r="I101" s="10" t="s">
        <v>24</v>
      </c>
      <c r="K101" t="s">
        <v>25</v>
      </c>
      <c r="L101" t="s">
        <v>304</v>
      </c>
      <c r="N101" s="11" t="str">
        <f>Base_CRM[[#This Row],[Cidade]]&amp;"/"&amp;Base_CRM[[#This Row],[Estado]]</f>
        <v>RIO DE JANEIRO/</v>
      </c>
      <c r="O101" s="12">
        <f>IFERROR(IF(Base_CRM[[#This Row],[PL Tailor]]&gt;Base_CRM[[#This Row],[PL Declarado]],1,Base_CRM[[#This Row],[PL Tailor]]/Base_CRM[[#This Row],[PL Declarado]]),0)</f>
        <v>0</v>
      </c>
      <c r="P101" s="11" t="str">
        <f>IF(Base_CRM[[#This Row],[Estado Civil]]="","PESSOA JURÍDICA","PESSOA FÍSICA")</f>
        <v>PESSOA FÍSICA</v>
      </c>
      <c r="Q101" t="str">
        <f>_xlfn.XLOOKUP(Base_CRM[[#This Row],[Cód do Cliente]],'[1]F &amp; O'!$A:$A,'[1]F &amp; O'!$F:$F,_xlfn.XLOOKUP(Base_CRM[[#This Row],[Assessor]],[1]DePara!$A:$A,[1]DePara!$D:$D,"Outros",0,1),0,1)</f>
        <v>Raphael Pereira</v>
      </c>
      <c r="R101" s="11" t="str">
        <f>_xlfn.XLOOKUP(Base_CRM[[#This Row],[Cód do Cliente]],'[1]F &amp; O'!$A:$A,'[1]F &amp; O'!D:D,"Sem Finder",0,1)</f>
        <v>Sem Finder</v>
      </c>
      <c r="S101" s="11" t="str">
        <f>_xlfn.XLOOKUP(Base_CRM[[#This Row],[Cód do Cliente]],'[1]F &amp; O'!$A:$A,'[1]F &amp; O'!E:E,"Sem Canal",0,1)</f>
        <v>Sem Canal</v>
      </c>
      <c r="T101" s="11" t="str">
        <f t="shared" si="1"/>
        <v>Cliente XP</v>
      </c>
    </row>
    <row r="102" spans="1:20" x14ac:dyDescent="0.3">
      <c r="A102">
        <v>14960767</v>
      </c>
      <c r="B102" s="8" t="s">
        <v>305</v>
      </c>
      <c r="C102" s="9" t="s">
        <v>103</v>
      </c>
      <c r="D102" s="8">
        <v>0</v>
      </c>
      <c r="E102">
        <v>5000000</v>
      </c>
      <c r="F102" t="s">
        <v>22</v>
      </c>
      <c r="G102" t="s">
        <v>306</v>
      </c>
      <c r="H102" s="10">
        <v>22090</v>
      </c>
      <c r="I102" s="10" t="s">
        <v>62</v>
      </c>
      <c r="K102" t="s">
        <v>250</v>
      </c>
      <c r="L102" t="s">
        <v>307</v>
      </c>
      <c r="M102" t="s">
        <v>60</v>
      </c>
      <c r="N102" s="11" t="str">
        <f>Base_CRM[[#This Row],[Cidade]]&amp;"/"&amp;Base_CRM[[#This Row],[Estado]]</f>
        <v>Rio de Janeiro/</v>
      </c>
      <c r="O102" s="12">
        <f>IFERROR(IF(Base_CRM[[#This Row],[PL Tailor]]&gt;Base_CRM[[#This Row],[PL Declarado]],1,Base_CRM[[#This Row],[PL Tailor]]/Base_CRM[[#This Row],[PL Declarado]]),0)</f>
        <v>0</v>
      </c>
      <c r="P102" s="11" t="str">
        <f>IF(Base_CRM[[#This Row],[Estado Civil]]="","PESSOA JURÍDICA","PESSOA FÍSICA")</f>
        <v>PESSOA FÍSICA</v>
      </c>
      <c r="Q102" t="str">
        <f>_xlfn.XLOOKUP(Base_CRM[[#This Row],[Cód do Cliente]],'[1]F &amp; O'!$A:$A,'[1]F &amp; O'!$F:$F,_xlfn.XLOOKUP(Base_CRM[[#This Row],[Assessor]],[1]DePara!$A:$A,[1]DePara!$D:$D,"Outros",0,1),0,1)</f>
        <v>Raphael Pereira</v>
      </c>
      <c r="R102" s="11" t="str">
        <f>_xlfn.XLOOKUP(Base_CRM[[#This Row],[Cód do Cliente]],'[1]F &amp; O'!$A:$A,'[1]F &amp; O'!D:D,"Sem Finder",0,1)</f>
        <v>Sem Finder</v>
      </c>
      <c r="S102" s="11" t="str">
        <f>_xlfn.XLOOKUP(Base_CRM[[#This Row],[Cód do Cliente]],'[1]F &amp; O'!$A:$A,'[1]F &amp; O'!E:E,"Sem Canal",0,1)</f>
        <v>Sem Canal</v>
      </c>
      <c r="T102" s="11" t="str">
        <f t="shared" si="1"/>
        <v>Cliente XP</v>
      </c>
    </row>
    <row r="103" spans="1:20" x14ac:dyDescent="0.3">
      <c r="A103">
        <v>14988353</v>
      </c>
      <c r="B103" s="8" t="s">
        <v>308</v>
      </c>
      <c r="C103" s="9" t="s">
        <v>48</v>
      </c>
      <c r="D103" s="8">
        <v>0</v>
      </c>
      <c r="E103">
        <v>70000</v>
      </c>
      <c r="F103" t="s">
        <v>22</v>
      </c>
      <c r="G103" t="s">
        <v>207</v>
      </c>
      <c r="H103" s="10">
        <v>32590</v>
      </c>
      <c r="I103" s="10" t="s">
        <v>309</v>
      </c>
      <c r="K103" t="s">
        <v>25</v>
      </c>
      <c r="L103" t="s">
        <v>310</v>
      </c>
      <c r="N103" s="11" t="str">
        <f>Base_CRM[[#This Row],[Cidade]]&amp;"/"&amp;Base_CRM[[#This Row],[Estado]]</f>
        <v>Indaial/</v>
      </c>
      <c r="O103" s="12">
        <f>IFERROR(IF(Base_CRM[[#This Row],[PL Tailor]]&gt;Base_CRM[[#This Row],[PL Declarado]],1,Base_CRM[[#This Row],[PL Tailor]]/Base_CRM[[#This Row],[PL Declarado]]),0)</f>
        <v>0</v>
      </c>
      <c r="P103" s="11" t="str">
        <f>IF(Base_CRM[[#This Row],[Estado Civil]]="","PESSOA JURÍDICA","PESSOA FÍSICA")</f>
        <v>PESSOA FÍSICA</v>
      </c>
      <c r="Q103" t="str">
        <f>_xlfn.XLOOKUP(Base_CRM[[#This Row],[Cód do Cliente]],'[1]F &amp; O'!$A:$A,'[1]F &amp; O'!$F:$F,_xlfn.XLOOKUP(Base_CRM[[#This Row],[Assessor]],[1]DePara!$A:$A,[1]DePara!$D:$D,"Outros",0,1),0,1)</f>
        <v>Raphael Farias</v>
      </c>
      <c r="R103" s="11" t="str">
        <f>_xlfn.XLOOKUP(Base_CRM[[#This Row],[Cód do Cliente]],'[1]F &amp; O'!$A:$A,'[1]F &amp; O'!D:D,"Sem Finder",0,1)</f>
        <v>Pedro Chagas</v>
      </c>
      <c r="S103" s="11" t="str">
        <f>_xlfn.XLOOKUP(Base_CRM[[#This Row],[Cód do Cliente]],'[1]F &amp; O'!$A:$A,'[1]F &amp; O'!E:E,"Sem Canal",0,1)</f>
        <v>Sem Canal</v>
      </c>
      <c r="T103" s="11" t="str">
        <f t="shared" si="1"/>
        <v>Cliente XP</v>
      </c>
    </row>
    <row r="104" spans="1:20" x14ac:dyDescent="0.3">
      <c r="A104">
        <v>15018528</v>
      </c>
      <c r="B104" s="8" t="s">
        <v>311</v>
      </c>
      <c r="C104" s="9" t="s">
        <v>39</v>
      </c>
      <c r="D104" s="8">
        <v>2037545.71</v>
      </c>
      <c r="E104">
        <v>5000000</v>
      </c>
      <c r="F104" t="s">
        <v>29</v>
      </c>
      <c r="G104" t="s">
        <v>312</v>
      </c>
      <c r="H104" s="10">
        <v>17833</v>
      </c>
      <c r="I104" s="10" t="s">
        <v>31</v>
      </c>
      <c r="K104" t="s">
        <v>42</v>
      </c>
      <c r="L104" t="s">
        <v>313</v>
      </c>
      <c r="N104" s="11" t="str">
        <f>Base_CRM[[#This Row],[Cidade]]&amp;"/"&amp;Base_CRM[[#This Row],[Estado]]</f>
        <v>SAO PAULO/</v>
      </c>
      <c r="O104" s="12">
        <f>IFERROR(IF(Base_CRM[[#This Row],[PL Tailor]]&gt;Base_CRM[[#This Row],[PL Declarado]],1,Base_CRM[[#This Row],[PL Tailor]]/Base_CRM[[#This Row],[PL Declarado]]),0)</f>
        <v>0.40750914199999999</v>
      </c>
      <c r="P104" s="11" t="str">
        <f>IF(Base_CRM[[#This Row],[Estado Civil]]="","PESSOA JURÍDICA","PESSOA FÍSICA")</f>
        <v>PESSOA FÍSICA</v>
      </c>
      <c r="Q104" t="str">
        <f>_xlfn.XLOOKUP(Base_CRM[[#This Row],[Cód do Cliente]],'[1]F &amp; O'!$A:$A,'[1]F &amp; O'!$F:$F,_xlfn.XLOOKUP(Base_CRM[[#This Row],[Assessor]],[1]DePara!$A:$A,[1]DePara!$D:$D,"Outros",0,1),0,1)</f>
        <v>Gestora</v>
      </c>
      <c r="R104" s="11" t="str">
        <f>_xlfn.XLOOKUP(Base_CRM[[#This Row],[Cód do Cliente]],'[1]F &amp; O'!$A:$A,'[1]F &amp; O'!D:D,"Sem Finder",0,1)</f>
        <v>Pedro Chagas</v>
      </c>
      <c r="S104" s="11" t="str">
        <f>_xlfn.XLOOKUP(Base_CRM[[#This Row],[Cód do Cliente]],'[1]F &amp; O'!$A:$A,'[1]F &amp; O'!E:E,"Sem Canal",0,1)</f>
        <v>Gestora</v>
      </c>
      <c r="T104" s="11" t="str">
        <f t="shared" si="1"/>
        <v>Cliente XP</v>
      </c>
    </row>
    <row r="105" spans="1:20" x14ac:dyDescent="0.3">
      <c r="A105">
        <v>15020732</v>
      </c>
      <c r="B105" s="8" t="s">
        <v>314</v>
      </c>
      <c r="C105" s="9" t="s">
        <v>48</v>
      </c>
      <c r="D105" s="8">
        <v>712664.14</v>
      </c>
      <c r="E105">
        <v>6000000</v>
      </c>
      <c r="F105" t="s">
        <v>22</v>
      </c>
      <c r="G105" t="s">
        <v>67</v>
      </c>
      <c r="H105" s="10">
        <v>24033</v>
      </c>
      <c r="I105" s="10" t="s">
        <v>315</v>
      </c>
      <c r="K105" t="s">
        <v>42</v>
      </c>
      <c r="L105" t="s">
        <v>316</v>
      </c>
      <c r="M105" t="s">
        <v>64</v>
      </c>
      <c r="N105" s="11" t="str">
        <f>Base_CRM[[#This Row],[Cidade]]&amp;"/"&amp;Base_CRM[[#This Row],[Estado]]</f>
        <v>Niterói/</v>
      </c>
      <c r="O105" s="12">
        <f>IFERROR(IF(Base_CRM[[#This Row],[PL Tailor]]&gt;Base_CRM[[#This Row],[PL Declarado]],1,Base_CRM[[#This Row],[PL Tailor]]/Base_CRM[[#This Row],[PL Declarado]]),0)</f>
        <v>0.11877735666666667</v>
      </c>
      <c r="P105" s="11" t="str">
        <f>IF(Base_CRM[[#This Row],[Estado Civil]]="","PESSOA JURÍDICA","PESSOA FÍSICA")</f>
        <v>PESSOA FÍSICA</v>
      </c>
      <c r="Q105" t="str">
        <f>_xlfn.XLOOKUP(Base_CRM[[#This Row],[Cód do Cliente]],'[1]F &amp; O'!$A:$A,'[1]F &amp; O'!$F:$F,_xlfn.XLOOKUP(Base_CRM[[#This Row],[Assessor]],[1]DePara!$A:$A,[1]DePara!$D:$D,"Outros",0,1),0,1)</f>
        <v>Raphael Farias</v>
      </c>
      <c r="R105" s="11" t="str">
        <f>_xlfn.XLOOKUP(Base_CRM[[#This Row],[Cód do Cliente]],'[1]F &amp; O'!$A:$A,'[1]F &amp; O'!D:D,"Sem Finder",0,1)</f>
        <v>Frederico Dantas</v>
      </c>
      <c r="S105" s="11" t="str">
        <f>_xlfn.XLOOKUP(Base_CRM[[#This Row],[Cód do Cliente]],'[1]F &amp; O'!$A:$A,'[1]F &amp; O'!E:E,"Sem Canal",0,1)</f>
        <v>Sem Canal</v>
      </c>
      <c r="T105" s="11" t="str">
        <f t="shared" si="1"/>
        <v>Cliente XP</v>
      </c>
    </row>
    <row r="106" spans="1:20" x14ac:dyDescent="0.3">
      <c r="A106">
        <v>15026232</v>
      </c>
      <c r="B106" s="8" t="s">
        <v>284</v>
      </c>
      <c r="C106" s="9" t="s">
        <v>39</v>
      </c>
      <c r="D106" s="8">
        <v>1188540.54</v>
      </c>
      <c r="E106">
        <v>1000000</v>
      </c>
      <c r="F106" t="s">
        <v>22</v>
      </c>
      <c r="G106" t="s">
        <v>87</v>
      </c>
      <c r="H106" s="10">
        <v>32434</v>
      </c>
      <c r="I106" s="10" t="s">
        <v>285</v>
      </c>
      <c r="K106" t="s">
        <v>42</v>
      </c>
      <c r="L106" t="s">
        <v>286</v>
      </c>
      <c r="N106" s="11" t="str">
        <f>Base_CRM[[#This Row],[Cidade]]&amp;"/"&amp;Base_CRM[[#This Row],[Estado]]</f>
        <v>SANTANA DE PARNAIBA/</v>
      </c>
      <c r="O106" s="12">
        <f>IFERROR(IF(Base_CRM[[#This Row],[PL Tailor]]&gt;Base_CRM[[#This Row],[PL Declarado]],1,Base_CRM[[#This Row],[PL Tailor]]/Base_CRM[[#This Row],[PL Declarado]]),0)</f>
        <v>1</v>
      </c>
      <c r="P106" s="11" t="str">
        <f>IF(Base_CRM[[#This Row],[Estado Civil]]="","PESSOA JURÍDICA","PESSOA FÍSICA")</f>
        <v>PESSOA FÍSICA</v>
      </c>
      <c r="Q106" t="str">
        <f>_xlfn.XLOOKUP(Base_CRM[[#This Row],[Cód do Cliente]],'[1]F &amp; O'!$A:$A,'[1]F &amp; O'!$F:$F,_xlfn.XLOOKUP(Base_CRM[[#This Row],[Assessor]],[1]DePara!$A:$A,[1]DePara!$D:$D,"Outros",0,1),0,1)</f>
        <v>Gestora</v>
      </c>
      <c r="R106" s="11" t="str">
        <f>_xlfn.XLOOKUP(Base_CRM[[#This Row],[Cód do Cliente]],'[1]F &amp; O'!$A:$A,'[1]F &amp; O'!D:D,"Sem Finder",0,1)</f>
        <v>Sem Finder</v>
      </c>
      <c r="S106" s="11" t="str">
        <f>_xlfn.XLOOKUP(Base_CRM[[#This Row],[Cód do Cliente]],'[1]F &amp; O'!$A:$A,'[1]F &amp; O'!E:E,"Sem Canal",0,1)</f>
        <v>Gestora</v>
      </c>
      <c r="T106" s="11" t="str">
        <f t="shared" si="1"/>
        <v>Cliente XP</v>
      </c>
    </row>
    <row r="107" spans="1:20" x14ac:dyDescent="0.3">
      <c r="A107">
        <v>15026320</v>
      </c>
      <c r="B107" s="8" t="s">
        <v>317</v>
      </c>
      <c r="C107" s="9" t="s">
        <v>74</v>
      </c>
      <c r="D107" s="8">
        <v>0</v>
      </c>
      <c r="E107">
        <v>1000</v>
      </c>
      <c r="F107" t="s">
        <v>22</v>
      </c>
      <c r="G107" t="s">
        <v>35</v>
      </c>
      <c r="H107" s="10">
        <v>32660</v>
      </c>
      <c r="I107" s="10" t="s">
        <v>24</v>
      </c>
      <c r="K107" t="s">
        <v>25</v>
      </c>
      <c r="L107" t="s">
        <v>318</v>
      </c>
      <c r="N107" s="11" t="str">
        <f>Base_CRM[[#This Row],[Cidade]]&amp;"/"&amp;Base_CRM[[#This Row],[Estado]]</f>
        <v>RIO DE JANEIRO/</v>
      </c>
      <c r="O107" s="12">
        <f>IFERROR(IF(Base_CRM[[#This Row],[PL Tailor]]&gt;Base_CRM[[#This Row],[PL Declarado]],1,Base_CRM[[#This Row],[PL Tailor]]/Base_CRM[[#This Row],[PL Declarado]]),0)</f>
        <v>0</v>
      </c>
      <c r="P107" s="11" t="str">
        <f>IF(Base_CRM[[#This Row],[Estado Civil]]="","PESSOA JURÍDICA","PESSOA FÍSICA")</f>
        <v>PESSOA FÍSICA</v>
      </c>
      <c r="Q107" t="str">
        <f>_xlfn.XLOOKUP(Base_CRM[[#This Row],[Cód do Cliente]],'[1]F &amp; O'!$A:$A,'[1]F &amp; O'!$F:$F,_xlfn.XLOOKUP(Base_CRM[[#This Row],[Assessor]],[1]DePara!$A:$A,[1]DePara!$D:$D,"Outros",0,1),0,1)</f>
        <v>Thayane Freitas</v>
      </c>
      <c r="R107" s="11" t="str">
        <f>_xlfn.XLOOKUP(Base_CRM[[#This Row],[Cód do Cliente]],'[1]F &amp; O'!$A:$A,'[1]F &amp; O'!D:D,"Sem Finder",0,1)</f>
        <v>Sem Finder</v>
      </c>
      <c r="S107" s="11" t="str">
        <f>_xlfn.XLOOKUP(Base_CRM[[#This Row],[Cód do Cliente]],'[1]F &amp; O'!$A:$A,'[1]F &amp; O'!E:E,"Sem Canal",0,1)</f>
        <v>Sem Canal</v>
      </c>
      <c r="T107" s="11" t="str">
        <f t="shared" si="1"/>
        <v>Cliente XP</v>
      </c>
    </row>
    <row r="108" spans="1:20" x14ac:dyDescent="0.3">
      <c r="A108">
        <v>15053737</v>
      </c>
      <c r="B108" s="8" t="s">
        <v>319</v>
      </c>
      <c r="C108" s="9" t="s">
        <v>39</v>
      </c>
      <c r="D108" s="8">
        <v>1252764.96</v>
      </c>
      <c r="E108">
        <v>1000000</v>
      </c>
      <c r="F108" t="s">
        <v>40</v>
      </c>
      <c r="G108" t="s">
        <v>35</v>
      </c>
      <c r="H108" s="10">
        <v>33495</v>
      </c>
      <c r="I108" s="10" t="s">
        <v>31</v>
      </c>
      <c r="K108" t="s">
        <v>25</v>
      </c>
      <c r="L108" t="s">
        <v>320</v>
      </c>
      <c r="N108" s="11" t="str">
        <f>Base_CRM[[#This Row],[Cidade]]&amp;"/"&amp;Base_CRM[[#This Row],[Estado]]</f>
        <v>SAO PAULO/</v>
      </c>
      <c r="O108" s="12">
        <f>IFERROR(IF(Base_CRM[[#This Row],[PL Tailor]]&gt;Base_CRM[[#This Row],[PL Declarado]],1,Base_CRM[[#This Row],[PL Tailor]]/Base_CRM[[#This Row],[PL Declarado]]),0)</f>
        <v>1</v>
      </c>
      <c r="P108" s="11" t="str">
        <f>IF(Base_CRM[[#This Row],[Estado Civil]]="","PESSOA JURÍDICA","PESSOA FÍSICA")</f>
        <v>PESSOA FÍSICA</v>
      </c>
      <c r="Q108" t="str">
        <f>_xlfn.XLOOKUP(Base_CRM[[#This Row],[Cód do Cliente]],'[1]F &amp; O'!$A:$A,'[1]F &amp; O'!$F:$F,_xlfn.XLOOKUP(Base_CRM[[#This Row],[Assessor]],[1]DePara!$A:$A,[1]DePara!$D:$D,"Outros",0,1),0,1)</f>
        <v>Gestora</v>
      </c>
      <c r="R108" s="11" t="str">
        <f>_xlfn.XLOOKUP(Base_CRM[[#This Row],[Cód do Cliente]],'[1]F &amp; O'!$A:$A,'[1]F &amp; O'!D:D,"Sem Finder",0,1)</f>
        <v>Pedro Chagas</v>
      </c>
      <c r="S108" s="11" t="str">
        <f>_xlfn.XLOOKUP(Base_CRM[[#This Row],[Cód do Cliente]],'[1]F &amp; O'!$A:$A,'[1]F &amp; O'!E:E,"Sem Canal",0,1)</f>
        <v>Gestora</v>
      </c>
      <c r="T108" s="11" t="str">
        <f t="shared" si="1"/>
        <v>Cliente XP</v>
      </c>
    </row>
    <row r="109" spans="1:20" x14ac:dyDescent="0.3">
      <c r="A109">
        <v>15073246</v>
      </c>
      <c r="B109" s="8" t="s">
        <v>321</v>
      </c>
      <c r="C109" s="9" t="s">
        <v>39</v>
      </c>
      <c r="D109" s="8">
        <v>4751.1099999999997</v>
      </c>
      <c r="E109">
        <v>10000</v>
      </c>
      <c r="F109" t="s">
        <v>40</v>
      </c>
      <c r="G109" t="s">
        <v>35</v>
      </c>
      <c r="H109" s="10">
        <v>44911</v>
      </c>
      <c r="I109" s="10" t="s">
        <v>31</v>
      </c>
      <c r="K109" t="s">
        <v>25</v>
      </c>
      <c r="L109" t="s">
        <v>322</v>
      </c>
      <c r="N109" s="11" t="str">
        <f>Base_CRM[[#This Row],[Cidade]]&amp;"/"&amp;Base_CRM[[#This Row],[Estado]]</f>
        <v>SAO PAULO/</v>
      </c>
      <c r="O109" s="12">
        <f>IFERROR(IF(Base_CRM[[#This Row],[PL Tailor]]&gt;Base_CRM[[#This Row],[PL Declarado]],1,Base_CRM[[#This Row],[PL Tailor]]/Base_CRM[[#This Row],[PL Declarado]]),0)</f>
        <v>0.47511099999999995</v>
      </c>
      <c r="P109" s="11" t="str">
        <f>IF(Base_CRM[[#This Row],[Estado Civil]]="","PESSOA JURÍDICA","PESSOA FÍSICA")</f>
        <v>PESSOA FÍSICA</v>
      </c>
      <c r="Q109" t="str">
        <f>_xlfn.XLOOKUP(Base_CRM[[#This Row],[Cód do Cliente]],'[1]F &amp; O'!$A:$A,'[1]F &amp; O'!$F:$F,_xlfn.XLOOKUP(Base_CRM[[#This Row],[Assessor]],[1]DePara!$A:$A,[1]DePara!$D:$D,"Outros",0,1),0,1)</f>
        <v>Gestora</v>
      </c>
      <c r="R109" s="11" t="str">
        <f>_xlfn.XLOOKUP(Base_CRM[[#This Row],[Cód do Cliente]],'[1]F &amp; O'!$A:$A,'[1]F &amp; O'!D:D,"Sem Finder",0,1)</f>
        <v>Sem Finder</v>
      </c>
      <c r="S109" s="11" t="str">
        <f>_xlfn.XLOOKUP(Base_CRM[[#This Row],[Cód do Cliente]],'[1]F &amp; O'!$A:$A,'[1]F &amp; O'!E:E,"Sem Canal",0,1)</f>
        <v>Gestora</v>
      </c>
      <c r="T109" s="11" t="str">
        <f t="shared" si="1"/>
        <v>Cliente XP</v>
      </c>
    </row>
    <row r="110" spans="1:20" x14ac:dyDescent="0.3">
      <c r="A110">
        <v>15096054</v>
      </c>
      <c r="B110" s="8" t="s">
        <v>323</v>
      </c>
      <c r="C110" s="9" t="s">
        <v>39</v>
      </c>
      <c r="D110" s="8">
        <v>81010.38</v>
      </c>
      <c r="E110">
        <v>3500000</v>
      </c>
      <c r="F110" t="s">
        <v>22</v>
      </c>
      <c r="G110" t="s">
        <v>127</v>
      </c>
      <c r="H110" s="10">
        <v>22229</v>
      </c>
      <c r="I110" s="10" t="s">
        <v>324</v>
      </c>
      <c r="K110" t="s">
        <v>68</v>
      </c>
      <c r="L110" t="s">
        <v>325</v>
      </c>
      <c r="N110" s="11" t="str">
        <f>Base_CRM[[#This Row],[Cidade]]&amp;"/"&amp;Base_CRM[[#This Row],[Estado]]</f>
        <v>JUNDIAI/</v>
      </c>
      <c r="O110" s="12">
        <f>IFERROR(IF(Base_CRM[[#This Row],[PL Tailor]]&gt;Base_CRM[[#This Row],[PL Declarado]],1,Base_CRM[[#This Row],[PL Tailor]]/Base_CRM[[#This Row],[PL Declarado]]),0)</f>
        <v>2.314582285714286E-2</v>
      </c>
      <c r="P110" s="11" t="str">
        <f>IF(Base_CRM[[#This Row],[Estado Civil]]="","PESSOA JURÍDICA","PESSOA FÍSICA")</f>
        <v>PESSOA FÍSICA</v>
      </c>
      <c r="Q110" t="str">
        <f>_xlfn.XLOOKUP(Base_CRM[[#This Row],[Cód do Cliente]],'[1]F &amp; O'!$A:$A,'[1]F &amp; O'!$F:$F,_xlfn.XLOOKUP(Base_CRM[[#This Row],[Assessor]],[1]DePara!$A:$A,[1]DePara!$D:$D,"Outros",0,1),0,1)</f>
        <v>Gestora</v>
      </c>
      <c r="R110" s="11" t="str">
        <f>_xlfn.XLOOKUP(Base_CRM[[#This Row],[Cód do Cliente]],'[1]F &amp; O'!$A:$A,'[1]F &amp; O'!D:D,"Sem Finder",0,1)</f>
        <v>Sem Finder</v>
      </c>
      <c r="S110" s="11" t="str">
        <f>_xlfn.XLOOKUP(Base_CRM[[#This Row],[Cód do Cliente]],'[1]F &amp; O'!$A:$A,'[1]F &amp; O'!E:E,"Sem Canal",0,1)</f>
        <v>Gestora</v>
      </c>
      <c r="T110" s="11" t="str">
        <f t="shared" si="1"/>
        <v>Cliente XP</v>
      </c>
    </row>
    <row r="111" spans="1:20" x14ac:dyDescent="0.3">
      <c r="A111">
        <v>15097216</v>
      </c>
      <c r="B111" s="8" t="s">
        <v>326</v>
      </c>
      <c r="C111" s="9" t="s">
        <v>21</v>
      </c>
      <c r="D111" s="8">
        <v>2034374.36</v>
      </c>
      <c r="E111">
        <v>10000000</v>
      </c>
      <c r="F111" t="s">
        <v>22</v>
      </c>
      <c r="G111" t="s">
        <v>35</v>
      </c>
      <c r="H111" s="10">
        <v>11033</v>
      </c>
      <c r="I111" s="10" t="s">
        <v>24</v>
      </c>
      <c r="K111" t="s">
        <v>250</v>
      </c>
      <c r="L111" t="s">
        <v>327</v>
      </c>
      <c r="M111" t="s">
        <v>64</v>
      </c>
      <c r="N111" s="11" t="str">
        <f>Base_CRM[[#This Row],[Cidade]]&amp;"/"&amp;Base_CRM[[#This Row],[Estado]]</f>
        <v>RIO DE JANEIRO/</v>
      </c>
      <c r="O111" s="12">
        <f>IFERROR(IF(Base_CRM[[#This Row],[PL Tailor]]&gt;Base_CRM[[#This Row],[PL Declarado]],1,Base_CRM[[#This Row],[PL Tailor]]/Base_CRM[[#This Row],[PL Declarado]]),0)</f>
        <v>0.203437436</v>
      </c>
      <c r="P111" s="11" t="str">
        <f>IF(Base_CRM[[#This Row],[Estado Civil]]="","PESSOA JURÍDICA","PESSOA FÍSICA")</f>
        <v>PESSOA FÍSICA</v>
      </c>
      <c r="Q111" t="str">
        <f>_xlfn.XLOOKUP(Base_CRM[[#This Row],[Cód do Cliente]],'[1]F &amp; O'!$A:$A,'[1]F &amp; O'!$F:$F,_xlfn.XLOOKUP(Base_CRM[[#This Row],[Assessor]],[1]DePara!$A:$A,[1]DePara!$D:$D,"Outros",0,1),0,1)</f>
        <v>Leonardo Burle</v>
      </c>
      <c r="R111" s="11" t="str">
        <f>_xlfn.XLOOKUP(Base_CRM[[#This Row],[Cód do Cliente]],'[1]F &amp; O'!$A:$A,'[1]F &amp; O'!D:D,"Sem Finder",0,1)</f>
        <v>Sem Finder</v>
      </c>
      <c r="S111" s="11" t="str">
        <f>_xlfn.XLOOKUP(Base_CRM[[#This Row],[Cód do Cliente]],'[1]F &amp; O'!$A:$A,'[1]F &amp; O'!E:E,"Sem Canal",0,1)</f>
        <v>Sem Canal</v>
      </c>
      <c r="T111" s="11" t="str">
        <f t="shared" si="1"/>
        <v>Cliente XP</v>
      </c>
    </row>
    <row r="112" spans="1:20" x14ac:dyDescent="0.3">
      <c r="A112">
        <v>15137970</v>
      </c>
      <c r="B112" s="8" t="s">
        <v>328</v>
      </c>
      <c r="C112" s="9" t="s">
        <v>39</v>
      </c>
      <c r="D112" s="8">
        <v>1477184.95</v>
      </c>
      <c r="E112">
        <v>3700000</v>
      </c>
      <c r="F112" t="s">
        <v>22</v>
      </c>
      <c r="G112" t="s">
        <v>30</v>
      </c>
      <c r="H112" s="10">
        <v>32324</v>
      </c>
      <c r="I112" s="10" t="s">
        <v>115</v>
      </c>
      <c r="K112" t="s">
        <v>25</v>
      </c>
      <c r="L112" t="s">
        <v>329</v>
      </c>
      <c r="N112" s="11" t="str">
        <f>Base_CRM[[#This Row],[Cidade]]&amp;"/"&amp;Base_CRM[[#This Row],[Estado]]</f>
        <v>BARUERI/</v>
      </c>
      <c r="O112" s="12">
        <f>IFERROR(IF(Base_CRM[[#This Row],[PL Tailor]]&gt;Base_CRM[[#This Row],[PL Declarado]],1,Base_CRM[[#This Row],[PL Tailor]]/Base_CRM[[#This Row],[PL Declarado]]),0)</f>
        <v>0.39923917567567568</v>
      </c>
      <c r="P112" s="11" t="str">
        <f>IF(Base_CRM[[#This Row],[Estado Civil]]="","PESSOA JURÍDICA","PESSOA FÍSICA")</f>
        <v>PESSOA FÍSICA</v>
      </c>
      <c r="Q112" t="str">
        <f>_xlfn.XLOOKUP(Base_CRM[[#This Row],[Cód do Cliente]],'[1]F &amp; O'!$A:$A,'[1]F &amp; O'!$F:$F,_xlfn.XLOOKUP(Base_CRM[[#This Row],[Assessor]],[1]DePara!$A:$A,[1]DePara!$D:$D,"Outros",0,1),0,1)</f>
        <v>Gestora</v>
      </c>
      <c r="R112" s="11" t="str">
        <f>_xlfn.XLOOKUP(Base_CRM[[#This Row],[Cód do Cliente]],'[1]F &amp; O'!$A:$A,'[1]F &amp; O'!D:D,"Sem Finder",0,1)</f>
        <v>Sem Finder</v>
      </c>
      <c r="S112" s="11" t="str">
        <f>_xlfn.XLOOKUP(Base_CRM[[#This Row],[Cód do Cliente]],'[1]F &amp; O'!$A:$A,'[1]F &amp; O'!E:E,"Sem Canal",0,1)</f>
        <v>Gestora</v>
      </c>
      <c r="T112" s="11" t="str">
        <f t="shared" si="1"/>
        <v>Cliente XP</v>
      </c>
    </row>
    <row r="113" spans="1:20" x14ac:dyDescent="0.3">
      <c r="A113">
        <v>15145032</v>
      </c>
      <c r="B113" s="8" t="s">
        <v>330</v>
      </c>
      <c r="C113" s="9" t="s">
        <v>103</v>
      </c>
      <c r="D113" s="8">
        <v>322781.3</v>
      </c>
      <c r="E113">
        <v>1000000</v>
      </c>
      <c r="F113" t="s">
        <v>22</v>
      </c>
      <c r="G113" t="s">
        <v>181</v>
      </c>
      <c r="H113" s="10">
        <v>31730</v>
      </c>
      <c r="I113" s="10" t="s">
        <v>331</v>
      </c>
      <c r="K113" t="s">
        <v>42</v>
      </c>
      <c r="L113" t="s">
        <v>332</v>
      </c>
      <c r="M113" t="s">
        <v>64</v>
      </c>
      <c r="N113" s="11" t="str">
        <f>Base_CRM[[#This Row],[Cidade]]&amp;"/"&amp;Base_CRM[[#This Row],[Estado]]</f>
        <v>PORTELANDIA/</v>
      </c>
      <c r="O113" s="12">
        <f>IFERROR(IF(Base_CRM[[#This Row],[PL Tailor]]&gt;Base_CRM[[#This Row],[PL Declarado]],1,Base_CRM[[#This Row],[PL Tailor]]/Base_CRM[[#This Row],[PL Declarado]]),0)</f>
        <v>0.32278129999999999</v>
      </c>
      <c r="P113" s="11" t="str">
        <f>IF(Base_CRM[[#This Row],[Estado Civil]]="","PESSOA JURÍDICA","PESSOA FÍSICA")</f>
        <v>PESSOA FÍSICA</v>
      </c>
      <c r="Q113" t="str">
        <f>_xlfn.XLOOKUP(Base_CRM[[#This Row],[Cód do Cliente]],'[1]F &amp; O'!$A:$A,'[1]F &amp; O'!$F:$F,_xlfn.XLOOKUP(Base_CRM[[#This Row],[Assessor]],[1]DePara!$A:$A,[1]DePara!$D:$D,"Outros",0,1),0,1)</f>
        <v>Raphael Pereira</v>
      </c>
      <c r="R113" s="11" t="str">
        <f>_xlfn.XLOOKUP(Base_CRM[[#This Row],[Cód do Cliente]],'[1]F &amp; O'!$A:$A,'[1]F &amp; O'!D:D,"Sem Finder",0,1)</f>
        <v>Sem Finder</v>
      </c>
      <c r="S113" s="11" t="str">
        <f>_xlfn.XLOOKUP(Base_CRM[[#This Row],[Cód do Cliente]],'[1]F &amp; O'!$A:$A,'[1]F &amp; O'!E:E,"Sem Canal",0,1)</f>
        <v>Sem Canal</v>
      </c>
      <c r="T113" s="11" t="str">
        <f t="shared" si="1"/>
        <v>Cliente XP</v>
      </c>
    </row>
    <row r="114" spans="1:20" x14ac:dyDescent="0.3">
      <c r="A114">
        <v>15158260</v>
      </c>
      <c r="B114" s="8" t="s">
        <v>333</v>
      </c>
      <c r="C114" s="9" t="s">
        <v>74</v>
      </c>
      <c r="D114" s="8">
        <v>2279.63</v>
      </c>
      <c r="E114">
        <v>20000</v>
      </c>
      <c r="F114" t="s">
        <v>92</v>
      </c>
      <c r="G114" t="s">
        <v>334</v>
      </c>
      <c r="H114" s="10">
        <v>35865</v>
      </c>
      <c r="I114" s="10" t="s">
        <v>24</v>
      </c>
      <c r="K114" t="s">
        <v>25</v>
      </c>
      <c r="L114" t="s">
        <v>335</v>
      </c>
      <c r="N114" s="11" t="str">
        <f>Base_CRM[[#This Row],[Cidade]]&amp;"/"&amp;Base_CRM[[#This Row],[Estado]]</f>
        <v>RIO DE JANEIRO/</v>
      </c>
      <c r="O114" s="12">
        <f>IFERROR(IF(Base_CRM[[#This Row],[PL Tailor]]&gt;Base_CRM[[#This Row],[PL Declarado]],1,Base_CRM[[#This Row],[PL Tailor]]/Base_CRM[[#This Row],[PL Declarado]]),0)</f>
        <v>0.1139815</v>
      </c>
      <c r="P114" s="11" t="str">
        <f>IF(Base_CRM[[#This Row],[Estado Civil]]="","PESSOA JURÍDICA","PESSOA FÍSICA")</f>
        <v>PESSOA FÍSICA</v>
      </c>
      <c r="Q114" t="str">
        <f>_xlfn.XLOOKUP(Base_CRM[[#This Row],[Cód do Cliente]],'[1]F &amp; O'!$A:$A,'[1]F &amp; O'!$F:$F,_xlfn.XLOOKUP(Base_CRM[[#This Row],[Assessor]],[1]DePara!$A:$A,[1]DePara!$D:$D,"Outros",0,1),0,1)</f>
        <v>Thayane Freitas</v>
      </c>
      <c r="R114" s="11" t="str">
        <f>_xlfn.XLOOKUP(Base_CRM[[#This Row],[Cód do Cliente]],'[1]F &amp; O'!$A:$A,'[1]F &amp; O'!D:D,"Sem Finder",0,1)</f>
        <v>Sem Finder</v>
      </c>
      <c r="S114" s="11" t="str">
        <f>_xlfn.XLOOKUP(Base_CRM[[#This Row],[Cód do Cliente]],'[1]F &amp; O'!$A:$A,'[1]F &amp; O'!E:E,"Sem Canal",0,1)</f>
        <v>Sem Canal</v>
      </c>
      <c r="T114" s="11" t="str">
        <f t="shared" si="1"/>
        <v>Cliente XP</v>
      </c>
    </row>
    <row r="115" spans="1:20" x14ac:dyDescent="0.3">
      <c r="A115">
        <v>15163047</v>
      </c>
      <c r="B115" s="8" t="s">
        <v>336</v>
      </c>
      <c r="C115" s="9" t="s">
        <v>48</v>
      </c>
      <c r="D115" s="8">
        <v>64378.81</v>
      </c>
      <c r="E115">
        <v>1500000</v>
      </c>
      <c r="F115" t="s">
        <v>22</v>
      </c>
      <c r="G115" t="s">
        <v>337</v>
      </c>
      <c r="H115" s="10">
        <v>37112</v>
      </c>
      <c r="I115" s="10" t="s">
        <v>338</v>
      </c>
      <c r="K115" t="s">
        <v>25</v>
      </c>
      <c r="L115" t="s">
        <v>339</v>
      </c>
      <c r="N115" s="11" t="str">
        <f>Base_CRM[[#This Row],[Cidade]]&amp;"/"&amp;Base_CRM[[#This Row],[Estado]]</f>
        <v>GURUPI/</v>
      </c>
      <c r="O115" s="12">
        <f>IFERROR(IF(Base_CRM[[#This Row],[PL Tailor]]&gt;Base_CRM[[#This Row],[PL Declarado]],1,Base_CRM[[#This Row],[PL Tailor]]/Base_CRM[[#This Row],[PL Declarado]]),0)</f>
        <v>4.2919206666666668E-2</v>
      </c>
      <c r="P115" s="11" t="str">
        <f>IF(Base_CRM[[#This Row],[Estado Civil]]="","PESSOA JURÍDICA","PESSOA FÍSICA")</f>
        <v>PESSOA FÍSICA</v>
      </c>
      <c r="Q115" t="str">
        <f>_xlfn.XLOOKUP(Base_CRM[[#This Row],[Cód do Cliente]],'[1]F &amp; O'!$A:$A,'[1]F &amp; O'!$F:$F,_xlfn.XLOOKUP(Base_CRM[[#This Row],[Assessor]],[1]DePara!$A:$A,[1]DePara!$D:$D,"Outros",0,1),0,1)</f>
        <v>Raphael Farias</v>
      </c>
      <c r="R115" s="11" t="str">
        <f>_xlfn.XLOOKUP(Base_CRM[[#This Row],[Cód do Cliente]],'[1]F &amp; O'!$A:$A,'[1]F &amp; O'!D:D,"Sem Finder",0,1)</f>
        <v>José De Marchi</v>
      </c>
      <c r="S115" s="11" t="str">
        <f>_xlfn.XLOOKUP(Base_CRM[[#This Row],[Cód do Cliente]],'[1]F &amp; O'!$A:$A,'[1]F &amp; O'!E:E,"Sem Canal",0,1)</f>
        <v>Sem Canal</v>
      </c>
      <c r="T115" s="11" t="str">
        <f t="shared" si="1"/>
        <v>Cliente XP</v>
      </c>
    </row>
    <row r="116" spans="1:20" x14ac:dyDescent="0.3">
      <c r="A116">
        <v>15184056</v>
      </c>
      <c r="B116" s="8" t="s">
        <v>340</v>
      </c>
      <c r="C116" s="9" t="s">
        <v>21</v>
      </c>
      <c r="D116" s="8">
        <v>8103254.6399999997</v>
      </c>
      <c r="E116">
        <v>7000000</v>
      </c>
      <c r="F116" t="s">
        <v>29</v>
      </c>
      <c r="G116" t="s">
        <v>67</v>
      </c>
      <c r="H116" s="10">
        <v>26441</v>
      </c>
      <c r="I116" s="10" t="s">
        <v>24</v>
      </c>
      <c r="K116" t="s">
        <v>68</v>
      </c>
      <c r="L116" t="s">
        <v>341</v>
      </c>
      <c r="M116" t="s">
        <v>64</v>
      </c>
      <c r="N116" s="11" t="str">
        <f>Base_CRM[[#This Row],[Cidade]]&amp;"/"&amp;Base_CRM[[#This Row],[Estado]]</f>
        <v>RIO DE JANEIRO/</v>
      </c>
      <c r="O116" s="12">
        <f>IFERROR(IF(Base_CRM[[#This Row],[PL Tailor]]&gt;Base_CRM[[#This Row],[PL Declarado]],1,Base_CRM[[#This Row],[PL Tailor]]/Base_CRM[[#This Row],[PL Declarado]]),0)</f>
        <v>1</v>
      </c>
      <c r="P116" s="11" t="str">
        <f>IF(Base_CRM[[#This Row],[Estado Civil]]="","PESSOA JURÍDICA","PESSOA FÍSICA")</f>
        <v>PESSOA FÍSICA</v>
      </c>
      <c r="Q116" t="str">
        <f>_xlfn.XLOOKUP(Base_CRM[[#This Row],[Cód do Cliente]],'[1]F &amp; O'!$A:$A,'[1]F &amp; O'!$F:$F,_xlfn.XLOOKUP(Base_CRM[[#This Row],[Assessor]],[1]DePara!$A:$A,[1]DePara!$D:$D,"Outros",0,1),0,1)</f>
        <v>Leonardo Burle</v>
      </c>
      <c r="R116" s="11" t="str">
        <f>_xlfn.XLOOKUP(Base_CRM[[#This Row],[Cód do Cliente]],'[1]F &amp; O'!$A:$A,'[1]F &amp; O'!D:D,"Sem Finder",0,1)</f>
        <v>Maurício Honorato</v>
      </c>
      <c r="S116" s="11" t="str">
        <f>_xlfn.XLOOKUP(Base_CRM[[#This Row],[Cód do Cliente]],'[1]F &amp; O'!$A:$A,'[1]F &amp; O'!E:E,"Sem Canal",0,1)</f>
        <v>Maurício Honorato</v>
      </c>
      <c r="T116" s="11" t="str">
        <f t="shared" si="1"/>
        <v>Cliente XP</v>
      </c>
    </row>
    <row r="117" spans="1:20" x14ac:dyDescent="0.3">
      <c r="A117">
        <v>15214041</v>
      </c>
      <c r="B117" s="8" t="s">
        <v>342</v>
      </c>
      <c r="C117" s="9" t="s">
        <v>48</v>
      </c>
      <c r="D117" s="8">
        <v>0</v>
      </c>
      <c r="E117">
        <v>45000000</v>
      </c>
      <c r="F117" t="s">
        <v>22</v>
      </c>
      <c r="G117" t="s">
        <v>67</v>
      </c>
      <c r="H117" s="10">
        <v>34564</v>
      </c>
      <c r="I117" s="10" t="s">
        <v>343</v>
      </c>
      <c r="K117" t="s">
        <v>42</v>
      </c>
      <c r="L117" t="s">
        <v>344</v>
      </c>
      <c r="N117" s="11" t="str">
        <f>Base_CRM[[#This Row],[Cidade]]&amp;"/"&amp;Base_CRM[[#This Row],[Estado]]</f>
        <v>Vitória/</v>
      </c>
      <c r="O117" s="12">
        <f>IFERROR(IF(Base_CRM[[#This Row],[PL Tailor]]&gt;Base_CRM[[#This Row],[PL Declarado]],1,Base_CRM[[#This Row],[PL Tailor]]/Base_CRM[[#This Row],[PL Declarado]]),0)</f>
        <v>0</v>
      </c>
      <c r="P117" s="11" t="str">
        <f>IF(Base_CRM[[#This Row],[Estado Civil]]="","PESSOA JURÍDICA","PESSOA FÍSICA")</f>
        <v>PESSOA FÍSICA</v>
      </c>
      <c r="Q117" t="str">
        <f>_xlfn.XLOOKUP(Base_CRM[[#This Row],[Cód do Cliente]],'[1]F &amp; O'!$A:$A,'[1]F &amp; O'!$F:$F,_xlfn.XLOOKUP(Base_CRM[[#This Row],[Assessor]],[1]DePara!$A:$A,[1]DePara!$D:$D,"Outros",0,1),0,1)</f>
        <v>Raphael Farias</v>
      </c>
      <c r="R117" s="11" t="str">
        <f>_xlfn.XLOOKUP(Base_CRM[[#This Row],[Cód do Cliente]],'[1]F &amp; O'!$A:$A,'[1]F &amp; O'!D:D,"Sem Finder",0,1)</f>
        <v>Sem Finder</v>
      </c>
      <c r="S117" s="11" t="str">
        <f>_xlfn.XLOOKUP(Base_CRM[[#This Row],[Cód do Cliente]],'[1]F &amp; O'!$A:$A,'[1]F &amp; O'!E:E,"Sem Canal",0,1)</f>
        <v>Sem Canal</v>
      </c>
      <c r="T117" s="11" t="str">
        <f t="shared" si="1"/>
        <v>Cliente XP</v>
      </c>
    </row>
    <row r="118" spans="1:20" x14ac:dyDescent="0.3">
      <c r="A118">
        <v>15217906</v>
      </c>
      <c r="B118" s="8" t="s">
        <v>345</v>
      </c>
      <c r="C118" s="9" t="s">
        <v>103</v>
      </c>
      <c r="D118" s="8">
        <v>0</v>
      </c>
      <c r="E118">
        <v>80000</v>
      </c>
      <c r="F118" t="s">
        <v>92</v>
      </c>
      <c r="G118" t="s">
        <v>67</v>
      </c>
      <c r="H118" s="10">
        <v>34317</v>
      </c>
      <c r="I118" s="10" t="s">
        <v>346</v>
      </c>
      <c r="K118" t="s">
        <v>104</v>
      </c>
      <c r="L118" t="s">
        <v>347</v>
      </c>
      <c r="N118" s="11" t="str">
        <f>Base_CRM[[#This Row],[Cidade]]&amp;"/"&amp;Base_CRM[[#This Row],[Estado]]</f>
        <v>PORTO ALEGRE/</v>
      </c>
      <c r="O118" s="12">
        <f>IFERROR(IF(Base_CRM[[#This Row],[PL Tailor]]&gt;Base_CRM[[#This Row],[PL Declarado]],1,Base_CRM[[#This Row],[PL Tailor]]/Base_CRM[[#This Row],[PL Declarado]]),0)</f>
        <v>0</v>
      </c>
      <c r="P118" s="11" t="str">
        <f>IF(Base_CRM[[#This Row],[Estado Civil]]="","PESSOA JURÍDICA","PESSOA FÍSICA")</f>
        <v>PESSOA FÍSICA</v>
      </c>
      <c r="Q118" t="str">
        <f>_xlfn.XLOOKUP(Base_CRM[[#This Row],[Cód do Cliente]],'[1]F &amp; O'!$A:$A,'[1]F &amp; O'!$F:$F,_xlfn.XLOOKUP(Base_CRM[[#This Row],[Assessor]],[1]DePara!$A:$A,[1]DePara!$D:$D,"Outros",0,1),0,1)</f>
        <v>Raphael Pereira</v>
      </c>
      <c r="R118" s="11" t="str">
        <f>_xlfn.XLOOKUP(Base_CRM[[#This Row],[Cód do Cliente]],'[1]F &amp; O'!$A:$A,'[1]F &amp; O'!D:D,"Sem Finder",0,1)</f>
        <v>Sem Finder</v>
      </c>
      <c r="S118" s="11" t="str">
        <f>_xlfn.XLOOKUP(Base_CRM[[#This Row],[Cód do Cliente]],'[1]F &amp; O'!$A:$A,'[1]F &amp; O'!E:E,"Sem Canal",0,1)</f>
        <v>Sem Canal</v>
      </c>
      <c r="T118" s="11" t="str">
        <f t="shared" si="1"/>
        <v>Cliente XP</v>
      </c>
    </row>
    <row r="119" spans="1:20" x14ac:dyDescent="0.3">
      <c r="A119">
        <v>15224733</v>
      </c>
      <c r="B119" s="8" t="s">
        <v>348</v>
      </c>
      <c r="C119" s="9" t="s">
        <v>39</v>
      </c>
      <c r="D119" s="8">
        <v>1992959.77</v>
      </c>
      <c r="E119">
        <v>1500000</v>
      </c>
      <c r="F119" t="s">
        <v>22</v>
      </c>
      <c r="G119" t="s">
        <v>87</v>
      </c>
      <c r="H119" s="10">
        <v>33466</v>
      </c>
      <c r="I119" s="10" t="s">
        <v>349</v>
      </c>
      <c r="K119" t="s">
        <v>25</v>
      </c>
      <c r="L119" t="s">
        <v>350</v>
      </c>
      <c r="N119" s="11" t="str">
        <f>Base_CRM[[#This Row],[Cidade]]&amp;"/"&amp;Base_CRM[[#This Row],[Estado]]</f>
        <v>São Paulo/</v>
      </c>
      <c r="O119" s="12">
        <f>IFERROR(IF(Base_CRM[[#This Row],[PL Tailor]]&gt;Base_CRM[[#This Row],[PL Declarado]],1,Base_CRM[[#This Row],[PL Tailor]]/Base_CRM[[#This Row],[PL Declarado]]),0)</f>
        <v>1</v>
      </c>
      <c r="P119" s="11" t="str">
        <f>IF(Base_CRM[[#This Row],[Estado Civil]]="","PESSOA JURÍDICA","PESSOA FÍSICA")</f>
        <v>PESSOA FÍSICA</v>
      </c>
      <c r="Q119" t="str">
        <f>_xlfn.XLOOKUP(Base_CRM[[#This Row],[Cód do Cliente]],'[1]F &amp; O'!$A:$A,'[1]F &amp; O'!$F:$F,_xlfn.XLOOKUP(Base_CRM[[#This Row],[Assessor]],[1]DePara!$A:$A,[1]DePara!$D:$D,"Outros",0,1),0,1)</f>
        <v>Gestora</v>
      </c>
      <c r="R119" s="11" t="str">
        <f>_xlfn.XLOOKUP(Base_CRM[[#This Row],[Cód do Cliente]],'[1]F &amp; O'!$A:$A,'[1]F &amp; O'!D:D,"Sem Finder",0,1)</f>
        <v>Pedro Chagas</v>
      </c>
      <c r="S119" s="11" t="str">
        <f>_xlfn.XLOOKUP(Base_CRM[[#This Row],[Cód do Cliente]],'[1]F &amp; O'!$A:$A,'[1]F &amp; O'!E:E,"Sem Canal",0,1)</f>
        <v>Gestora</v>
      </c>
      <c r="T119" s="11" t="str">
        <f t="shared" si="1"/>
        <v>Cliente XP</v>
      </c>
    </row>
    <row r="120" spans="1:20" x14ac:dyDescent="0.3">
      <c r="A120">
        <v>15256099</v>
      </c>
      <c r="B120" s="8" t="s">
        <v>144</v>
      </c>
      <c r="C120" s="9" t="s">
        <v>39</v>
      </c>
      <c r="D120" s="8">
        <v>6095.71</v>
      </c>
      <c r="E120">
        <v>3500</v>
      </c>
      <c r="F120" t="s">
        <v>40</v>
      </c>
      <c r="G120" t="s">
        <v>145</v>
      </c>
      <c r="H120" s="10">
        <v>33214</v>
      </c>
      <c r="I120" s="10" t="s">
        <v>115</v>
      </c>
      <c r="K120" t="s">
        <v>25</v>
      </c>
      <c r="L120" t="s">
        <v>146</v>
      </c>
      <c r="N120" s="11" t="str">
        <f>Base_CRM[[#This Row],[Cidade]]&amp;"/"&amp;Base_CRM[[#This Row],[Estado]]</f>
        <v>BARUERI/</v>
      </c>
      <c r="O120" s="12">
        <f>IFERROR(IF(Base_CRM[[#This Row],[PL Tailor]]&gt;Base_CRM[[#This Row],[PL Declarado]],1,Base_CRM[[#This Row],[PL Tailor]]/Base_CRM[[#This Row],[PL Declarado]]),0)</f>
        <v>1</v>
      </c>
      <c r="P120" s="11" t="str">
        <f>IF(Base_CRM[[#This Row],[Estado Civil]]="","PESSOA JURÍDICA","PESSOA FÍSICA")</f>
        <v>PESSOA FÍSICA</v>
      </c>
      <c r="Q120" t="str">
        <f>_xlfn.XLOOKUP(Base_CRM[[#This Row],[Cód do Cliente]],'[1]F &amp; O'!$A:$A,'[1]F &amp; O'!$F:$F,_xlfn.XLOOKUP(Base_CRM[[#This Row],[Assessor]],[1]DePara!$A:$A,[1]DePara!$D:$D,"Outros",0,1),0,1)</f>
        <v>Gestora</v>
      </c>
      <c r="R120" s="11" t="str">
        <f>_xlfn.XLOOKUP(Base_CRM[[#This Row],[Cód do Cliente]],'[1]F &amp; O'!$A:$A,'[1]F &amp; O'!D:D,"Sem Finder",0,1)</f>
        <v>Sem Finder</v>
      </c>
      <c r="S120" s="11" t="str">
        <f>_xlfn.XLOOKUP(Base_CRM[[#This Row],[Cód do Cliente]],'[1]F &amp; O'!$A:$A,'[1]F &amp; O'!E:E,"Sem Canal",0,1)</f>
        <v>Gestora</v>
      </c>
      <c r="T120" s="11" t="str">
        <f t="shared" si="1"/>
        <v>Cliente XP</v>
      </c>
    </row>
    <row r="121" spans="1:20" x14ac:dyDescent="0.3">
      <c r="A121">
        <v>15343710</v>
      </c>
      <c r="B121" s="8" t="s">
        <v>351</v>
      </c>
      <c r="C121" s="9" t="s">
        <v>74</v>
      </c>
      <c r="D121" s="8">
        <v>0</v>
      </c>
      <c r="E121">
        <v>150000</v>
      </c>
      <c r="F121" t="s">
        <v>40</v>
      </c>
      <c r="G121" t="s">
        <v>67</v>
      </c>
      <c r="H121" s="10">
        <v>27986</v>
      </c>
      <c r="I121" s="10" t="s">
        <v>346</v>
      </c>
      <c r="K121" t="s">
        <v>42</v>
      </c>
      <c r="L121" t="s">
        <v>352</v>
      </c>
      <c r="N121" s="11" t="str">
        <f>Base_CRM[[#This Row],[Cidade]]&amp;"/"&amp;Base_CRM[[#This Row],[Estado]]</f>
        <v>PORTO ALEGRE/</v>
      </c>
      <c r="O121" s="12">
        <f>IFERROR(IF(Base_CRM[[#This Row],[PL Tailor]]&gt;Base_CRM[[#This Row],[PL Declarado]],1,Base_CRM[[#This Row],[PL Tailor]]/Base_CRM[[#This Row],[PL Declarado]]),0)</f>
        <v>0</v>
      </c>
      <c r="P121" s="11" t="str">
        <f>IF(Base_CRM[[#This Row],[Estado Civil]]="","PESSOA JURÍDICA","PESSOA FÍSICA")</f>
        <v>PESSOA FÍSICA</v>
      </c>
      <c r="Q121" t="str">
        <f>_xlfn.XLOOKUP(Base_CRM[[#This Row],[Cód do Cliente]],'[1]F &amp; O'!$A:$A,'[1]F &amp; O'!$F:$F,_xlfn.XLOOKUP(Base_CRM[[#This Row],[Assessor]],[1]DePara!$A:$A,[1]DePara!$D:$D,"Outros",0,1),0,1)</f>
        <v>Thayane Freitas</v>
      </c>
      <c r="R121" s="11" t="str">
        <f>_xlfn.XLOOKUP(Base_CRM[[#This Row],[Cód do Cliente]],'[1]F &amp; O'!$A:$A,'[1]F &amp; O'!D:D,"Sem Finder",0,1)</f>
        <v>Sem Finder</v>
      </c>
      <c r="S121" s="11" t="str">
        <f>_xlfn.XLOOKUP(Base_CRM[[#This Row],[Cód do Cliente]],'[1]F &amp; O'!$A:$A,'[1]F &amp; O'!E:E,"Sem Canal",0,1)</f>
        <v>Sem Canal</v>
      </c>
      <c r="T121" s="11" t="str">
        <f t="shared" si="1"/>
        <v>Cliente XP</v>
      </c>
    </row>
    <row r="122" spans="1:20" x14ac:dyDescent="0.3">
      <c r="A122">
        <v>15415013</v>
      </c>
      <c r="B122" s="8" t="s">
        <v>353</v>
      </c>
      <c r="C122" s="9" t="s">
        <v>34</v>
      </c>
      <c r="D122" s="8">
        <v>127607.23</v>
      </c>
      <c r="E122">
        <v>200</v>
      </c>
      <c r="F122" t="s">
        <v>29</v>
      </c>
      <c r="G122" t="s">
        <v>71</v>
      </c>
      <c r="H122" s="10">
        <v>34748</v>
      </c>
      <c r="I122" s="10" t="s">
        <v>31</v>
      </c>
      <c r="K122" t="s">
        <v>104</v>
      </c>
      <c r="L122" t="s">
        <v>354</v>
      </c>
      <c r="M122" t="s">
        <v>355</v>
      </c>
      <c r="N122" s="11" t="str">
        <f>Base_CRM[[#This Row],[Cidade]]&amp;"/"&amp;Base_CRM[[#This Row],[Estado]]</f>
        <v>SAO PAULO/</v>
      </c>
      <c r="O122" s="12">
        <f>IFERROR(IF(Base_CRM[[#This Row],[PL Tailor]]&gt;Base_CRM[[#This Row],[PL Declarado]],1,Base_CRM[[#This Row],[PL Tailor]]/Base_CRM[[#This Row],[PL Declarado]]),0)</f>
        <v>1</v>
      </c>
      <c r="P122" s="11" t="str">
        <f>IF(Base_CRM[[#This Row],[Estado Civil]]="","PESSOA JURÍDICA","PESSOA FÍSICA")</f>
        <v>PESSOA FÍSICA</v>
      </c>
      <c r="Q122" t="str">
        <f>_xlfn.XLOOKUP(Base_CRM[[#This Row],[Cód do Cliente]],'[1]F &amp; O'!$A:$A,'[1]F &amp; O'!$F:$F,_xlfn.XLOOKUP(Base_CRM[[#This Row],[Assessor]],[1]DePara!$A:$A,[1]DePara!$D:$D,"Outros",0,1),0,1)</f>
        <v>Adonias Noronha</v>
      </c>
      <c r="R122" s="11" t="str">
        <f>_xlfn.XLOOKUP(Base_CRM[[#This Row],[Cód do Cliente]],'[1]F &amp; O'!$A:$A,'[1]F &amp; O'!D:D,"Sem Finder",0,1)</f>
        <v>Sem Finder</v>
      </c>
      <c r="S122" s="11" t="str">
        <f>_xlfn.XLOOKUP(Base_CRM[[#This Row],[Cód do Cliente]],'[1]F &amp; O'!$A:$A,'[1]F &amp; O'!E:E,"Sem Canal",0,1)</f>
        <v>Sem Canal</v>
      </c>
      <c r="T122" s="11" t="str">
        <f t="shared" si="1"/>
        <v>Cliente XP</v>
      </c>
    </row>
    <row r="123" spans="1:20" x14ac:dyDescent="0.3">
      <c r="A123">
        <v>15417457</v>
      </c>
      <c r="B123" s="8" t="s">
        <v>356</v>
      </c>
      <c r="C123" s="9" t="s">
        <v>103</v>
      </c>
      <c r="D123" s="8">
        <v>882238.5</v>
      </c>
      <c r="E123">
        <v>1200000</v>
      </c>
      <c r="F123" t="s">
        <v>22</v>
      </c>
      <c r="G123" t="s">
        <v>23</v>
      </c>
      <c r="H123" s="10">
        <v>33234</v>
      </c>
      <c r="I123" s="10" t="s">
        <v>24</v>
      </c>
      <c r="K123" t="s">
        <v>25</v>
      </c>
      <c r="L123" t="s">
        <v>357</v>
      </c>
      <c r="M123" t="s">
        <v>358</v>
      </c>
      <c r="N123" s="11" t="str">
        <f>Base_CRM[[#This Row],[Cidade]]&amp;"/"&amp;Base_CRM[[#This Row],[Estado]]</f>
        <v>RIO DE JANEIRO/</v>
      </c>
      <c r="O123" s="12">
        <f>IFERROR(IF(Base_CRM[[#This Row],[PL Tailor]]&gt;Base_CRM[[#This Row],[PL Declarado]],1,Base_CRM[[#This Row],[PL Tailor]]/Base_CRM[[#This Row],[PL Declarado]]),0)</f>
        <v>0.73519875000000001</v>
      </c>
      <c r="P123" s="11" t="str">
        <f>IF(Base_CRM[[#This Row],[Estado Civil]]="","PESSOA JURÍDICA","PESSOA FÍSICA")</f>
        <v>PESSOA FÍSICA</v>
      </c>
      <c r="Q123" t="str">
        <f>_xlfn.XLOOKUP(Base_CRM[[#This Row],[Cód do Cliente]],'[1]F &amp; O'!$A:$A,'[1]F &amp; O'!$F:$F,_xlfn.XLOOKUP(Base_CRM[[#This Row],[Assessor]],[1]DePara!$A:$A,[1]DePara!$D:$D,"Outros",0,1),0,1)</f>
        <v>Raphael Pereira</v>
      </c>
      <c r="R123" s="11" t="str">
        <f>_xlfn.XLOOKUP(Base_CRM[[#This Row],[Cód do Cliente]],'[1]F &amp; O'!$A:$A,'[1]F &amp; O'!D:D,"Sem Finder",0,1)</f>
        <v>Sem Finder</v>
      </c>
      <c r="S123" s="11" t="str">
        <f>_xlfn.XLOOKUP(Base_CRM[[#This Row],[Cód do Cliente]],'[1]F &amp; O'!$A:$A,'[1]F &amp; O'!E:E,"Sem Canal",0,1)</f>
        <v>Sem Canal</v>
      </c>
      <c r="T123" s="11" t="str">
        <f t="shared" si="1"/>
        <v>Cliente XP</v>
      </c>
    </row>
    <row r="124" spans="1:20" x14ac:dyDescent="0.3">
      <c r="A124">
        <v>15534330</v>
      </c>
      <c r="B124" s="8" t="s">
        <v>65</v>
      </c>
      <c r="C124" s="9" t="s">
        <v>66</v>
      </c>
      <c r="D124" s="8">
        <v>2493.67</v>
      </c>
      <c r="E124">
        <v>5000000</v>
      </c>
      <c r="F124" t="s">
        <v>22</v>
      </c>
      <c r="G124" t="s">
        <v>67</v>
      </c>
      <c r="H124" s="10">
        <v>29632</v>
      </c>
      <c r="I124" s="10" t="s">
        <v>31</v>
      </c>
      <c r="K124" t="s">
        <v>68</v>
      </c>
      <c r="L124" t="s">
        <v>69</v>
      </c>
      <c r="N124" s="11" t="str">
        <f>Base_CRM[[#This Row],[Cidade]]&amp;"/"&amp;Base_CRM[[#This Row],[Estado]]</f>
        <v>SAO PAULO/</v>
      </c>
      <c r="O124" s="12">
        <f>IFERROR(IF(Base_CRM[[#This Row],[PL Tailor]]&gt;Base_CRM[[#This Row],[PL Declarado]],1,Base_CRM[[#This Row],[PL Tailor]]/Base_CRM[[#This Row],[PL Declarado]]),0)</f>
        <v>4.9873400000000003E-4</v>
      </c>
      <c r="P124" s="11" t="str">
        <f>IF(Base_CRM[[#This Row],[Estado Civil]]="","PESSOA JURÍDICA","PESSOA FÍSICA")</f>
        <v>PESSOA FÍSICA</v>
      </c>
      <c r="Q124" t="str">
        <f>_xlfn.XLOOKUP(Base_CRM[[#This Row],[Cód do Cliente]],'[1]F &amp; O'!$A:$A,'[1]F &amp; O'!$F:$F,_xlfn.XLOOKUP(Base_CRM[[#This Row],[Assessor]],[1]DePara!$A:$A,[1]DePara!$D:$D,"Outros",0,1),0,1)</f>
        <v>Caroline Vlavianos</v>
      </c>
      <c r="R124" s="11" t="str">
        <f>_xlfn.XLOOKUP(Base_CRM[[#This Row],[Cód do Cliente]],'[1]F &amp; O'!$A:$A,'[1]F &amp; O'!D:D,"Sem Finder",0,1)</f>
        <v>Sem Finder</v>
      </c>
      <c r="S124" s="11" t="str">
        <f>_xlfn.XLOOKUP(Base_CRM[[#This Row],[Cód do Cliente]],'[1]F &amp; O'!$A:$A,'[1]F &amp; O'!E:E,"Sem Canal",0,1)</f>
        <v>Sem Canal</v>
      </c>
      <c r="T124" s="11" t="str">
        <f t="shared" si="1"/>
        <v>Cliente XP</v>
      </c>
    </row>
    <row r="125" spans="1:20" x14ac:dyDescent="0.3">
      <c r="A125">
        <v>15556274</v>
      </c>
      <c r="B125" s="8" t="s">
        <v>359</v>
      </c>
      <c r="C125" s="9" t="s">
        <v>34</v>
      </c>
      <c r="D125" s="8">
        <v>357599.77</v>
      </c>
      <c r="E125">
        <v>800000</v>
      </c>
      <c r="F125" t="s">
        <v>29</v>
      </c>
      <c r="G125" t="s">
        <v>45</v>
      </c>
      <c r="H125" s="10">
        <v>38775</v>
      </c>
      <c r="I125" s="10" t="s">
        <v>31</v>
      </c>
      <c r="K125" t="s">
        <v>25</v>
      </c>
      <c r="L125" t="s">
        <v>360</v>
      </c>
      <c r="N125" s="11" t="str">
        <f>Base_CRM[[#This Row],[Cidade]]&amp;"/"&amp;Base_CRM[[#This Row],[Estado]]</f>
        <v>SAO PAULO/</v>
      </c>
      <c r="O125" s="12">
        <f>IFERROR(IF(Base_CRM[[#This Row],[PL Tailor]]&gt;Base_CRM[[#This Row],[PL Declarado]],1,Base_CRM[[#This Row],[PL Tailor]]/Base_CRM[[#This Row],[PL Declarado]]),0)</f>
        <v>0.44699971250000003</v>
      </c>
      <c r="P125" s="11" t="str">
        <f>IF(Base_CRM[[#This Row],[Estado Civil]]="","PESSOA JURÍDICA","PESSOA FÍSICA")</f>
        <v>PESSOA FÍSICA</v>
      </c>
      <c r="Q125" t="str">
        <f>_xlfn.XLOOKUP(Base_CRM[[#This Row],[Cód do Cliente]],'[1]F &amp; O'!$A:$A,'[1]F &amp; O'!$F:$F,_xlfn.XLOOKUP(Base_CRM[[#This Row],[Assessor]],[1]DePara!$A:$A,[1]DePara!$D:$D,"Outros",0,1),0,1)</f>
        <v>Adonias Noronha</v>
      </c>
      <c r="R125" s="11" t="str">
        <f>_xlfn.XLOOKUP(Base_CRM[[#This Row],[Cód do Cliente]],'[1]F &amp; O'!$A:$A,'[1]F &amp; O'!D:D,"Sem Finder",0,1)</f>
        <v>Sem Finder</v>
      </c>
      <c r="S125" s="11" t="str">
        <f>_xlfn.XLOOKUP(Base_CRM[[#This Row],[Cód do Cliente]],'[1]F &amp; O'!$A:$A,'[1]F &amp; O'!E:E,"Sem Canal",0,1)</f>
        <v>Sem Canal</v>
      </c>
      <c r="T125" s="11" t="str">
        <f t="shared" si="1"/>
        <v>Cliente XP</v>
      </c>
    </row>
    <row r="126" spans="1:20" x14ac:dyDescent="0.3">
      <c r="A126">
        <v>15634542</v>
      </c>
      <c r="B126" s="8" t="s">
        <v>361</v>
      </c>
      <c r="C126" s="9" t="s">
        <v>74</v>
      </c>
      <c r="D126" s="8">
        <v>319529.44</v>
      </c>
      <c r="E126">
        <v>10000</v>
      </c>
      <c r="F126" t="s">
        <v>22</v>
      </c>
      <c r="G126" t="s">
        <v>362</v>
      </c>
      <c r="H126" s="10">
        <v>21887</v>
      </c>
      <c r="I126" s="10" t="s">
        <v>24</v>
      </c>
      <c r="K126" t="s">
        <v>42</v>
      </c>
      <c r="L126" t="s">
        <v>363</v>
      </c>
      <c r="M126" t="s">
        <v>364</v>
      </c>
      <c r="N126" s="11" t="str">
        <f>Base_CRM[[#This Row],[Cidade]]&amp;"/"&amp;Base_CRM[[#This Row],[Estado]]</f>
        <v>RIO DE JANEIRO/</v>
      </c>
      <c r="O126" s="12">
        <f>IFERROR(IF(Base_CRM[[#This Row],[PL Tailor]]&gt;Base_CRM[[#This Row],[PL Declarado]],1,Base_CRM[[#This Row],[PL Tailor]]/Base_CRM[[#This Row],[PL Declarado]]),0)</f>
        <v>1</v>
      </c>
      <c r="P126" s="11" t="str">
        <f>IF(Base_CRM[[#This Row],[Estado Civil]]="","PESSOA JURÍDICA","PESSOA FÍSICA")</f>
        <v>PESSOA FÍSICA</v>
      </c>
      <c r="Q126" t="str">
        <f>_xlfn.XLOOKUP(Base_CRM[[#This Row],[Cód do Cliente]],'[1]F &amp; O'!$A:$A,'[1]F &amp; O'!$F:$F,_xlfn.XLOOKUP(Base_CRM[[#This Row],[Assessor]],[1]DePara!$A:$A,[1]DePara!$D:$D,"Outros",0,1),0,1)</f>
        <v>Thayane Freitas</v>
      </c>
      <c r="R126" s="11" t="str">
        <f>_xlfn.XLOOKUP(Base_CRM[[#This Row],[Cód do Cliente]],'[1]F &amp; O'!$A:$A,'[1]F &amp; O'!D:D,"Sem Finder",0,1)</f>
        <v>Sem Finder</v>
      </c>
      <c r="S126" s="11" t="str">
        <f>_xlfn.XLOOKUP(Base_CRM[[#This Row],[Cód do Cliente]],'[1]F &amp; O'!$A:$A,'[1]F &amp; O'!E:E,"Sem Canal",0,1)</f>
        <v>Sem Canal</v>
      </c>
      <c r="T126" s="11" t="str">
        <f t="shared" si="1"/>
        <v>Cliente XP</v>
      </c>
    </row>
    <row r="127" spans="1:20" x14ac:dyDescent="0.3">
      <c r="A127">
        <v>15704088</v>
      </c>
      <c r="B127" s="8" t="s">
        <v>365</v>
      </c>
      <c r="C127" s="9" t="s">
        <v>39</v>
      </c>
      <c r="D127" s="8">
        <v>391455.98</v>
      </c>
      <c r="E127">
        <v>130000</v>
      </c>
      <c r="F127" t="s">
        <v>29</v>
      </c>
      <c r="G127" t="s">
        <v>181</v>
      </c>
      <c r="H127" s="10">
        <v>21952</v>
      </c>
      <c r="I127" s="10" t="s">
        <v>229</v>
      </c>
      <c r="K127" t="s">
        <v>42</v>
      </c>
      <c r="L127" t="s">
        <v>366</v>
      </c>
      <c r="N127" s="11" t="str">
        <f>Base_CRM[[#This Row],[Cidade]]&amp;"/"&amp;Base_CRM[[#This Row],[Estado]]</f>
        <v>CURITIBA/</v>
      </c>
      <c r="O127" s="12">
        <f>IFERROR(IF(Base_CRM[[#This Row],[PL Tailor]]&gt;Base_CRM[[#This Row],[PL Declarado]],1,Base_CRM[[#This Row],[PL Tailor]]/Base_CRM[[#This Row],[PL Declarado]]),0)</f>
        <v>1</v>
      </c>
      <c r="P127" s="11" t="str">
        <f>IF(Base_CRM[[#This Row],[Estado Civil]]="","PESSOA JURÍDICA","PESSOA FÍSICA")</f>
        <v>PESSOA FÍSICA</v>
      </c>
      <c r="Q127" t="str">
        <f>_xlfn.XLOOKUP(Base_CRM[[#This Row],[Cód do Cliente]],'[1]F &amp; O'!$A:$A,'[1]F &amp; O'!$F:$F,_xlfn.XLOOKUP(Base_CRM[[#This Row],[Assessor]],[1]DePara!$A:$A,[1]DePara!$D:$D,"Outros",0,1),0,1)</f>
        <v>Gestora</v>
      </c>
      <c r="R127" s="11" t="str">
        <f>_xlfn.XLOOKUP(Base_CRM[[#This Row],[Cód do Cliente]],'[1]F &amp; O'!$A:$A,'[1]F &amp; O'!D:D,"Sem Finder",0,1)</f>
        <v>Sem Finder</v>
      </c>
      <c r="S127" s="11" t="str">
        <f>_xlfn.XLOOKUP(Base_CRM[[#This Row],[Cód do Cliente]],'[1]F &amp; O'!$A:$A,'[1]F &amp; O'!E:E,"Sem Canal",0,1)</f>
        <v>Gestora</v>
      </c>
      <c r="T127" s="11" t="str">
        <f t="shared" si="1"/>
        <v>Cliente XP</v>
      </c>
    </row>
    <row r="128" spans="1:20" x14ac:dyDescent="0.3">
      <c r="A128">
        <v>15712179</v>
      </c>
      <c r="B128" s="8" t="s">
        <v>367</v>
      </c>
      <c r="C128" s="9" t="s">
        <v>103</v>
      </c>
      <c r="D128" s="8">
        <v>0</v>
      </c>
      <c r="E128">
        <v>2000000</v>
      </c>
      <c r="F128" t="s">
        <v>22</v>
      </c>
      <c r="G128" t="s">
        <v>96</v>
      </c>
      <c r="H128" s="10">
        <v>32971</v>
      </c>
      <c r="I128" s="10" t="s">
        <v>24</v>
      </c>
      <c r="K128" t="s">
        <v>25</v>
      </c>
      <c r="L128" t="s">
        <v>368</v>
      </c>
      <c r="N128" s="11" t="str">
        <f>Base_CRM[[#This Row],[Cidade]]&amp;"/"&amp;Base_CRM[[#This Row],[Estado]]</f>
        <v>RIO DE JANEIRO/</v>
      </c>
      <c r="O128" s="12">
        <f>IFERROR(IF(Base_CRM[[#This Row],[PL Tailor]]&gt;Base_CRM[[#This Row],[PL Declarado]],1,Base_CRM[[#This Row],[PL Tailor]]/Base_CRM[[#This Row],[PL Declarado]]),0)</f>
        <v>0</v>
      </c>
      <c r="P128" s="11" t="str">
        <f>IF(Base_CRM[[#This Row],[Estado Civil]]="","PESSOA JURÍDICA","PESSOA FÍSICA")</f>
        <v>PESSOA FÍSICA</v>
      </c>
      <c r="Q128" t="str">
        <f>_xlfn.XLOOKUP(Base_CRM[[#This Row],[Cód do Cliente]],'[1]F &amp; O'!$A:$A,'[1]F &amp; O'!$F:$F,_xlfn.XLOOKUP(Base_CRM[[#This Row],[Assessor]],[1]DePara!$A:$A,[1]DePara!$D:$D,"Outros",0,1),0,1)</f>
        <v>Raphael Pereira</v>
      </c>
      <c r="R128" s="11" t="str">
        <f>_xlfn.XLOOKUP(Base_CRM[[#This Row],[Cód do Cliente]],'[1]F &amp; O'!$A:$A,'[1]F &amp; O'!D:D,"Sem Finder",0,1)</f>
        <v>Sem Finder</v>
      </c>
      <c r="S128" s="11" t="str">
        <f>_xlfn.XLOOKUP(Base_CRM[[#This Row],[Cód do Cliente]],'[1]F &amp; O'!$A:$A,'[1]F &amp; O'!E:E,"Sem Canal",0,1)</f>
        <v>Sem Canal</v>
      </c>
      <c r="T128" s="11" t="str">
        <f t="shared" si="1"/>
        <v>Cliente XP</v>
      </c>
    </row>
    <row r="129" spans="1:20" x14ac:dyDescent="0.3">
      <c r="A129">
        <v>15971863</v>
      </c>
      <c r="B129" s="8" t="s">
        <v>369</v>
      </c>
      <c r="C129" s="9" t="s">
        <v>34</v>
      </c>
      <c r="D129" s="8">
        <v>227873.39</v>
      </c>
      <c r="E129">
        <v>1000000</v>
      </c>
      <c r="F129" t="s">
        <v>29</v>
      </c>
      <c r="G129" t="s">
        <v>96</v>
      </c>
      <c r="H129" s="10">
        <v>24525</v>
      </c>
      <c r="I129" s="10" t="s">
        <v>370</v>
      </c>
      <c r="K129" t="s">
        <v>42</v>
      </c>
      <c r="L129" t="s">
        <v>371</v>
      </c>
      <c r="M129" t="s">
        <v>60</v>
      </c>
      <c r="N129" s="11" t="str">
        <f>Base_CRM[[#This Row],[Cidade]]&amp;"/"&amp;Base_CRM[[#This Row],[Estado]]</f>
        <v>MARINGA/</v>
      </c>
      <c r="O129" s="12">
        <f>IFERROR(IF(Base_CRM[[#This Row],[PL Tailor]]&gt;Base_CRM[[#This Row],[PL Declarado]],1,Base_CRM[[#This Row],[PL Tailor]]/Base_CRM[[#This Row],[PL Declarado]]),0)</f>
        <v>0.22787339000000001</v>
      </c>
      <c r="P129" s="11" t="str">
        <f>IF(Base_CRM[[#This Row],[Estado Civil]]="","PESSOA JURÍDICA","PESSOA FÍSICA")</f>
        <v>PESSOA FÍSICA</v>
      </c>
      <c r="Q129" t="str">
        <f>_xlfn.XLOOKUP(Base_CRM[[#This Row],[Cód do Cliente]],'[1]F &amp; O'!$A:$A,'[1]F &amp; O'!$F:$F,_xlfn.XLOOKUP(Base_CRM[[#This Row],[Assessor]],[1]DePara!$A:$A,[1]DePara!$D:$D,"Outros",0,1),0,1)</f>
        <v>Adonias Noronha</v>
      </c>
      <c r="R129" s="11" t="str">
        <f>_xlfn.XLOOKUP(Base_CRM[[#This Row],[Cód do Cliente]],'[1]F &amp; O'!$A:$A,'[1]F &amp; O'!D:D,"Sem Finder",0,1)</f>
        <v>Sem Finder</v>
      </c>
      <c r="S129" s="11" t="str">
        <f>_xlfn.XLOOKUP(Base_CRM[[#This Row],[Cód do Cliente]],'[1]F &amp; O'!$A:$A,'[1]F &amp; O'!E:E,"Sem Canal",0,1)</f>
        <v>Sem Canal</v>
      </c>
      <c r="T129" s="11" t="str">
        <f t="shared" si="1"/>
        <v>Cliente XP</v>
      </c>
    </row>
    <row r="130" spans="1:20" x14ac:dyDescent="0.3">
      <c r="A130">
        <v>16154345</v>
      </c>
      <c r="B130" s="8" t="s">
        <v>144</v>
      </c>
      <c r="C130" s="9" t="s">
        <v>39</v>
      </c>
      <c r="D130" s="8">
        <v>11058.9</v>
      </c>
      <c r="E130">
        <v>3500</v>
      </c>
      <c r="F130" t="s">
        <v>40</v>
      </c>
      <c r="G130" t="s">
        <v>145</v>
      </c>
      <c r="H130" s="10">
        <v>33214</v>
      </c>
      <c r="I130" s="10" t="s">
        <v>115</v>
      </c>
      <c r="K130" t="s">
        <v>25</v>
      </c>
      <c r="L130" t="s">
        <v>146</v>
      </c>
      <c r="N130" s="11" t="str">
        <f>Base_CRM[[#This Row],[Cidade]]&amp;"/"&amp;Base_CRM[[#This Row],[Estado]]</f>
        <v>BARUERI/</v>
      </c>
      <c r="O130" s="12">
        <f>IFERROR(IF(Base_CRM[[#This Row],[PL Tailor]]&gt;Base_CRM[[#This Row],[PL Declarado]],1,Base_CRM[[#This Row],[PL Tailor]]/Base_CRM[[#This Row],[PL Declarado]]),0)</f>
        <v>1</v>
      </c>
      <c r="P130" s="11" t="str">
        <f>IF(Base_CRM[[#This Row],[Estado Civil]]="","PESSOA JURÍDICA","PESSOA FÍSICA")</f>
        <v>PESSOA FÍSICA</v>
      </c>
      <c r="Q130" t="str">
        <f>_xlfn.XLOOKUP(Base_CRM[[#This Row],[Cód do Cliente]],'[1]F &amp; O'!$A:$A,'[1]F &amp; O'!$F:$F,_xlfn.XLOOKUP(Base_CRM[[#This Row],[Assessor]],[1]DePara!$A:$A,[1]DePara!$D:$D,"Outros",0,1),0,1)</f>
        <v>Gestora</v>
      </c>
      <c r="R130" s="11" t="str">
        <f>_xlfn.XLOOKUP(Base_CRM[[#This Row],[Cód do Cliente]],'[1]F &amp; O'!$A:$A,'[1]F &amp; O'!D:D,"Sem Finder",0,1)</f>
        <v>Sem Finder</v>
      </c>
      <c r="S130" s="11" t="str">
        <f>_xlfn.XLOOKUP(Base_CRM[[#This Row],[Cód do Cliente]],'[1]F &amp; O'!$A:$A,'[1]F &amp; O'!E:E,"Sem Canal",0,1)</f>
        <v>Gestora</v>
      </c>
      <c r="T130" s="11" t="str">
        <f t="shared" ref="T130:T193" si="2">"Cliente XP"</f>
        <v>Cliente XP</v>
      </c>
    </row>
    <row r="131" spans="1:20" x14ac:dyDescent="0.3">
      <c r="A131">
        <v>16202404</v>
      </c>
      <c r="B131" s="8" t="s">
        <v>372</v>
      </c>
      <c r="C131" s="9" t="s">
        <v>48</v>
      </c>
      <c r="D131" s="8">
        <v>5618550.3300000001</v>
      </c>
      <c r="E131">
        <v>1000000</v>
      </c>
      <c r="F131" t="s">
        <v>29</v>
      </c>
      <c r="H131" s="10">
        <v>21702</v>
      </c>
      <c r="I131" s="10" t="s">
        <v>84</v>
      </c>
      <c r="K131" t="s">
        <v>250</v>
      </c>
      <c r="L131" t="s">
        <v>373</v>
      </c>
      <c r="M131" t="s">
        <v>64</v>
      </c>
      <c r="N131" s="11" t="str">
        <f>Base_CRM[[#This Row],[Cidade]]&amp;"/"&amp;Base_CRM[[#This Row],[Estado]]</f>
        <v>NITEROI/</v>
      </c>
      <c r="O131" s="12">
        <f>IFERROR(IF(Base_CRM[[#This Row],[PL Tailor]]&gt;Base_CRM[[#This Row],[PL Declarado]],1,Base_CRM[[#This Row],[PL Tailor]]/Base_CRM[[#This Row],[PL Declarado]]),0)</f>
        <v>1</v>
      </c>
      <c r="P131" s="11" t="str">
        <f>IF(Base_CRM[[#This Row],[Estado Civil]]="","PESSOA JURÍDICA","PESSOA FÍSICA")</f>
        <v>PESSOA FÍSICA</v>
      </c>
      <c r="Q131" t="str">
        <f>_xlfn.XLOOKUP(Base_CRM[[#This Row],[Cód do Cliente]],'[1]F &amp; O'!$A:$A,'[1]F &amp; O'!$F:$F,_xlfn.XLOOKUP(Base_CRM[[#This Row],[Assessor]],[1]DePara!$A:$A,[1]DePara!$D:$D,"Outros",0,1),0,1)</f>
        <v>Raphael Farias</v>
      </c>
      <c r="R131" s="11" t="str">
        <f>_xlfn.XLOOKUP(Base_CRM[[#This Row],[Cód do Cliente]],'[1]F &amp; O'!$A:$A,'[1]F &amp; O'!D:D,"Sem Finder",0,1)</f>
        <v>Sem Finder</v>
      </c>
      <c r="S131" s="11" t="str">
        <f>_xlfn.XLOOKUP(Base_CRM[[#This Row],[Cód do Cliente]],'[1]F &amp; O'!$A:$A,'[1]F &amp; O'!E:E,"Sem Canal",0,1)</f>
        <v>Sem Canal</v>
      </c>
      <c r="T131" s="11" t="str">
        <f t="shared" si="2"/>
        <v>Cliente XP</v>
      </c>
    </row>
    <row r="132" spans="1:20" x14ac:dyDescent="0.3">
      <c r="A132">
        <v>16299474</v>
      </c>
      <c r="B132" s="8" t="s">
        <v>374</v>
      </c>
      <c r="C132" s="9" t="s">
        <v>39</v>
      </c>
      <c r="D132" s="8">
        <v>6053.86</v>
      </c>
      <c r="E132">
        <v>250000</v>
      </c>
      <c r="F132" t="s">
        <v>29</v>
      </c>
      <c r="G132" t="s">
        <v>67</v>
      </c>
      <c r="H132" s="10">
        <v>25142</v>
      </c>
      <c r="I132" s="10" t="s">
        <v>31</v>
      </c>
      <c r="K132" t="s">
        <v>42</v>
      </c>
      <c r="L132" t="s">
        <v>375</v>
      </c>
      <c r="N132" s="11" t="str">
        <f>Base_CRM[[#This Row],[Cidade]]&amp;"/"&amp;Base_CRM[[#This Row],[Estado]]</f>
        <v>SAO PAULO/</v>
      </c>
      <c r="O132" s="12">
        <f>IFERROR(IF(Base_CRM[[#This Row],[PL Tailor]]&gt;Base_CRM[[#This Row],[PL Declarado]],1,Base_CRM[[#This Row],[PL Tailor]]/Base_CRM[[#This Row],[PL Declarado]]),0)</f>
        <v>2.4215439999999998E-2</v>
      </c>
      <c r="P132" s="11" t="str">
        <f>IF(Base_CRM[[#This Row],[Estado Civil]]="","PESSOA JURÍDICA","PESSOA FÍSICA")</f>
        <v>PESSOA FÍSICA</v>
      </c>
      <c r="Q132" t="str">
        <f>_xlfn.XLOOKUP(Base_CRM[[#This Row],[Cód do Cliente]],'[1]F &amp; O'!$A:$A,'[1]F &amp; O'!$F:$F,_xlfn.XLOOKUP(Base_CRM[[#This Row],[Assessor]],[1]DePara!$A:$A,[1]DePara!$D:$D,"Outros",0,1),0,1)</f>
        <v>Gestora</v>
      </c>
      <c r="R132" s="11" t="str">
        <f>_xlfn.XLOOKUP(Base_CRM[[#This Row],[Cód do Cliente]],'[1]F &amp; O'!$A:$A,'[1]F &amp; O'!D:D,"Sem Finder",0,1)</f>
        <v>Pedro Chagas</v>
      </c>
      <c r="S132" s="11" t="str">
        <f>_xlfn.XLOOKUP(Base_CRM[[#This Row],[Cód do Cliente]],'[1]F &amp; O'!$A:$A,'[1]F &amp; O'!E:E,"Sem Canal",0,1)</f>
        <v>Sem Canal</v>
      </c>
      <c r="T132" s="11" t="str">
        <f t="shared" si="2"/>
        <v>Cliente XP</v>
      </c>
    </row>
    <row r="133" spans="1:20" x14ac:dyDescent="0.3">
      <c r="A133">
        <v>16348949</v>
      </c>
      <c r="B133" s="8" t="s">
        <v>376</v>
      </c>
      <c r="C133" s="9" t="s">
        <v>21</v>
      </c>
      <c r="D133" s="8">
        <v>105597.48</v>
      </c>
      <c r="E133">
        <v>200000</v>
      </c>
      <c r="F133" t="s">
        <v>22</v>
      </c>
      <c r="G133" t="s">
        <v>23</v>
      </c>
      <c r="H133" s="10">
        <v>30495</v>
      </c>
      <c r="I133" s="10" t="s">
        <v>24</v>
      </c>
      <c r="K133" t="s">
        <v>42</v>
      </c>
      <c r="L133" t="s">
        <v>377</v>
      </c>
      <c r="N133" s="11" t="str">
        <f>Base_CRM[[#This Row],[Cidade]]&amp;"/"&amp;Base_CRM[[#This Row],[Estado]]</f>
        <v>RIO DE JANEIRO/</v>
      </c>
      <c r="O133" s="12">
        <f>IFERROR(IF(Base_CRM[[#This Row],[PL Tailor]]&gt;Base_CRM[[#This Row],[PL Declarado]],1,Base_CRM[[#This Row],[PL Tailor]]/Base_CRM[[#This Row],[PL Declarado]]),0)</f>
        <v>0.5279874</v>
      </c>
      <c r="P133" s="11" t="str">
        <f>IF(Base_CRM[[#This Row],[Estado Civil]]="","PESSOA JURÍDICA","PESSOA FÍSICA")</f>
        <v>PESSOA FÍSICA</v>
      </c>
      <c r="Q133" t="str">
        <f>_xlfn.XLOOKUP(Base_CRM[[#This Row],[Cód do Cliente]],'[1]F &amp; O'!$A:$A,'[1]F &amp; O'!$F:$F,_xlfn.XLOOKUP(Base_CRM[[#This Row],[Assessor]],[1]DePara!$A:$A,[1]DePara!$D:$D,"Outros",0,1),0,1)</f>
        <v>Leonardo Burle</v>
      </c>
      <c r="R133" s="11" t="str">
        <f>_xlfn.XLOOKUP(Base_CRM[[#This Row],[Cód do Cliente]],'[1]F &amp; O'!$A:$A,'[1]F &amp; O'!D:D,"Sem Finder",0,1)</f>
        <v>Sem Finder</v>
      </c>
      <c r="S133" s="11" t="str">
        <f>_xlfn.XLOOKUP(Base_CRM[[#This Row],[Cód do Cliente]],'[1]F &amp; O'!$A:$A,'[1]F &amp; O'!E:E,"Sem Canal",0,1)</f>
        <v>Sem Canal</v>
      </c>
      <c r="T133" s="11" t="str">
        <f t="shared" si="2"/>
        <v>Cliente XP</v>
      </c>
    </row>
    <row r="134" spans="1:20" x14ac:dyDescent="0.3">
      <c r="A134">
        <v>16411477</v>
      </c>
      <c r="B134" s="8" t="s">
        <v>374</v>
      </c>
      <c r="C134" s="9" t="s">
        <v>39</v>
      </c>
      <c r="D134" s="8">
        <v>175460.89</v>
      </c>
      <c r="E134">
        <v>250000</v>
      </c>
      <c r="F134" t="s">
        <v>29</v>
      </c>
      <c r="G134" t="s">
        <v>67</v>
      </c>
      <c r="H134" s="10">
        <v>25142</v>
      </c>
      <c r="I134" s="10" t="s">
        <v>31</v>
      </c>
      <c r="K134" t="s">
        <v>42</v>
      </c>
      <c r="L134" t="s">
        <v>375</v>
      </c>
      <c r="N134" s="11" t="str">
        <f>Base_CRM[[#This Row],[Cidade]]&amp;"/"&amp;Base_CRM[[#This Row],[Estado]]</f>
        <v>SAO PAULO/</v>
      </c>
      <c r="O134" s="12">
        <f>IFERROR(IF(Base_CRM[[#This Row],[PL Tailor]]&gt;Base_CRM[[#This Row],[PL Declarado]],1,Base_CRM[[#This Row],[PL Tailor]]/Base_CRM[[#This Row],[PL Declarado]]),0)</f>
        <v>0.70184356000000003</v>
      </c>
      <c r="P134" s="11" t="str">
        <f>IF(Base_CRM[[#This Row],[Estado Civil]]="","PESSOA JURÍDICA","PESSOA FÍSICA")</f>
        <v>PESSOA FÍSICA</v>
      </c>
      <c r="Q134" t="str">
        <f>_xlfn.XLOOKUP(Base_CRM[[#This Row],[Cód do Cliente]],'[1]F &amp; O'!$A:$A,'[1]F &amp; O'!$F:$F,_xlfn.XLOOKUP(Base_CRM[[#This Row],[Assessor]],[1]DePara!$A:$A,[1]DePara!$D:$D,"Outros",0,1),0,1)</f>
        <v>Gestora</v>
      </c>
      <c r="R134" s="11" t="str">
        <f>_xlfn.XLOOKUP(Base_CRM[[#This Row],[Cód do Cliente]],'[1]F &amp; O'!$A:$A,'[1]F &amp; O'!D:D,"Sem Finder",0,1)</f>
        <v>Pedro Chagas</v>
      </c>
      <c r="S134" s="11" t="str">
        <f>_xlfn.XLOOKUP(Base_CRM[[#This Row],[Cód do Cliente]],'[1]F &amp; O'!$A:$A,'[1]F &amp; O'!E:E,"Sem Canal",0,1)</f>
        <v>Sem Canal</v>
      </c>
      <c r="T134" s="11" t="str">
        <f t="shared" si="2"/>
        <v>Cliente XP</v>
      </c>
    </row>
    <row r="135" spans="1:20" x14ac:dyDescent="0.3">
      <c r="A135">
        <v>16421702</v>
      </c>
      <c r="B135" s="8" t="s">
        <v>374</v>
      </c>
      <c r="C135" s="9" t="s">
        <v>39</v>
      </c>
      <c r="D135" s="8">
        <v>306.58</v>
      </c>
      <c r="E135">
        <v>250000</v>
      </c>
      <c r="F135" t="s">
        <v>29</v>
      </c>
      <c r="G135" t="s">
        <v>67</v>
      </c>
      <c r="H135" s="10">
        <v>25142</v>
      </c>
      <c r="I135" s="10" t="s">
        <v>31</v>
      </c>
      <c r="K135" t="s">
        <v>42</v>
      </c>
      <c r="L135" t="s">
        <v>375</v>
      </c>
      <c r="N135" s="11" t="str">
        <f>Base_CRM[[#This Row],[Cidade]]&amp;"/"&amp;Base_CRM[[#This Row],[Estado]]</f>
        <v>SAO PAULO/</v>
      </c>
      <c r="O135" s="12">
        <f>IFERROR(IF(Base_CRM[[#This Row],[PL Tailor]]&gt;Base_CRM[[#This Row],[PL Declarado]],1,Base_CRM[[#This Row],[PL Tailor]]/Base_CRM[[#This Row],[PL Declarado]]),0)</f>
        <v>1.2263199999999999E-3</v>
      </c>
      <c r="P135" s="11" t="str">
        <f>IF(Base_CRM[[#This Row],[Estado Civil]]="","PESSOA JURÍDICA","PESSOA FÍSICA")</f>
        <v>PESSOA FÍSICA</v>
      </c>
      <c r="Q135" t="str">
        <f>_xlfn.XLOOKUP(Base_CRM[[#This Row],[Cód do Cliente]],'[1]F &amp; O'!$A:$A,'[1]F &amp; O'!$F:$F,_xlfn.XLOOKUP(Base_CRM[[#This Row],[Assessor]],[1]DePara!$A:$A,[1]DePara!$D:$D,"Outros",0,1),0,1)</f>
        <v>Gestora</v>
      </c>
      <c r="R135" s="11" t="str">
        <f>_xlfn.XLOOKUP(Base_CRM[[#This Row],[Cód do Cliente]],'[1]F &amp; O'!$A:$A,'[1]F &amp; O'!D:D,"Sem Finder",0,1)</f>
        <v>Pedro Chagas</v>
      </c>
      <c r="S135" s="11" t="str">
        <f>_xlfn.XLOOKUP(Base_CRM[[#This Row],[Cód do Cliente]],'[1]F &amp; O'!$A:$A,'[1]F &amp; O'!E:E,"Sem Canal",0,1)</f>
        <v>Sem Canal</v>
      </c>
      <c r="T135" s="11" t="str">
        <f t="shared" si="2"/>
        <v>Cliente XP</v>
      </c>
    </row>
    <row r="136" spans="1:20" x14ac:dyDescent="0.3">
      <c r="A136">
        <v>16425854</v>
      </c>
      <c r="B136" s="8" t="s">
        <v>378</v>
      </c>
      <c r="C136" s="9" t="s">
        <v>48</v>
      </c>
      <c r="D136" s="8">
        <v>9065552.6600000001</v>
      </c>
      <c r="E136">
        <v>52000000</v>
      </c>
      <c r="F136" t="s">
        <v>22</v>
      </c>
      <c r="G136" t="s">
        <v>30</v>
      </c>
      <c r="H136" s="10">
        <v>26188</v>
      </c>
      <c r="I136" s="10" t="s">
        <v>379</v>
      </c>
      <c r="K136" t="s">
        <v>42</v>
      </c>
      <c r="L136" t="s">
        <v>380</v>
      </c>
      <c r="M136" t="s">
        <v>381</v>
      </c>
      <c r="N136" s="11" t="str">
        <f>Base_CRM[[#This Row],[Cidade]]&amp;"/"&amp;Base_CRM[[#This Row],[Estado]]</f>
        <v>Barueri/</v>
      </c>
      <c r="O136" s="12">
        <f>IFERROR(IF(Base_CRM[[#This Row],[PL Tailor]]&gt;Base_CRM[[#This Row],[PL Declarado]],1,Base_CRM[[#This Row],[PL Tailor]]/Base_CRM[[#This Row],[PL Declarado]]),0)</f>
        <v>0.17433755115384617</v>
      </c>
      <c r="P136" s="11" t="str">
        <f>IF(Base_CRM[[#This Row],[Estado Civil]]="","PESSOA JURÍDICA","PESSOA FÍSICA")</f>
        <v>PESSOA FÍSICA</v>
      </c>
      <c r="Q136" t="str">
        <f>_xlfn.XLOOKUP(Base_CRM[[#This Row],[Cód do Cliente]],'[1]F &amp; O'!$A:$A,'[1]F &amp; O'!$F:$F,_xlfn.XLOOKUP(Base_CRM[[#This Row],[Assessor]],[1]DePara!$A:$A,[1]DePara!$D:$D,"Outros",0,1),0,1)</f>
        <v>Raphael Farias</v>
      </c>
      <c r="R136" s="11" t="str">
        <f>_xlfn.XLOOKUP(Base_CRM[[#This Row],[Cód do Cliente]],'[1]F &amp; O'!$A:$A,'[1]F &amp; O'!D:D,"Sem Finder",0,1)</f>
        <v>Sem Finder</v>
      </c>
      <c r="S136" s="11" t="str">
        <f>_xlfn.XLOOKUP(Base_CRM[[#This Row],[Cód do Cliente]],'[1]F &amp; O'!$A:$A,'[1]F &amp; O'!E:E,"Sem Canal",0,1)</f>
        <v>Sem Canal</v>
      </c>
      <c r="T136" s="11" t="str">
        <f t="shared" si="2"/>
        <v>Cliente XP</v>
      </c>
    </row>
    <row r="137" spans="1:20" x14ac:dyDescent="0.3">
      <c r="A137">
        <v>16582068</v>
      </c>
      <c r="B137" s="8" t="s">
        <v>382</v>
      </c>
      <c r="C137" s="9" t="s">
        <v>34</v>
      </c>
      <c r="D137" s="8">
        <v>0</v>
      </c>
      <c r="E137">
        <v>2000000</v>
      </c>
      <c r="G137" t="s">
        <v>67</v>
      </c>
      <c r="H137" s="10">
        <v>23684</v>
      </c>
      <c r="I137" s="10" t="s">
        <v>285</v>
      </c>
      <c r="K137" t="s">
        <v>68</v>
      </c>
      <c r="L137" t="s">
        <v>383</v>
      </c>
      <c r="N137" s="11" t="str">
        <f>Base_CRM[[#This Row],[Cidade]]&amp;"/"&amp;Base_CRM[[#This Row],[Estado]]</f>
        <v>SANTANA DE PARNAIBA/</v>
      </c>
      <c r="O137" s="12">
        <f>IFERROR(IF(Base_CRM[[#This Row],[PL Tailor]]&gt;Base_CRM[[#This Row],[PL Declarado]],1,Base_CRM[[#This Row],[PL Tailor]]/Base_CRM[[#This Row],[PL Declarado]]),0)</f>
        <v>0</v>
      </c>
      <c r="P137" s="11" t="str">
        <f>IF(Base_CRM[[#This Row],[Estado Civil]]="","PESSOA JURÍDICA","PESSOA FÍSICA")</f>
        <v>PESSOA FÍSICA</v>
      </c>
      <c r="Q137" t="str">
        <f>_xlfn.XLOOKUP(Base_CRM[[#This Row],[Cód do Cliente]],'[1]F &amp; O'!$A:$A,'[1]F &amp; O'!$F:$F,_xlfn.XLOOKUP(Base_CRM[[#This Row],[Assessor]],[1]DePara!$A:$A,[1]DePara!$D:$D,"Outros",0,1),0,1)</f>
        <v>Adonias Noronha</v>
      </c>
      <c r="R137" s="11" t="str">
        <f>_xlfn.XLOOKUP(Base_CRM[[#This Row],[Cód do Cliente]],'[1]F &amp; O'!$A:$A,'[1]F &amp; O'!D:D,"Sem Finder",0,1)</f>
        <v>Sem Finder</v>
      </c>
      <c r="S137" s="11" t="str">
        <f>_xlfn.XLOOKUP(Base_CRM[[#This Row],[Cód do Cliente]],'[1]F &amp; O'!$A:$A,'[1]F &amp; O'!E:E,"Sem Canal",0,1)</f>
        <v>Sem Canal</v>
      </c>
      <c r="T137" s="11" t="str">
        <f t="shared" si="2"/>
        <v>Cliente XP</v>
      </c>
    </row>
    <row r="138" spans="1:20" x14ac:dyDescent="0.3">
      <c r="A138">
        <v>16694107</v>
      </c>
      <c r="B138" s="8" t="s">
        <v>384</v>
      </c>
      <c r="C138" s="9" t="s">
        <v>48</v>
      </c>
      <c r="D138" s="8">
        <v>20028498.149999999</v>
      </c>
      <c r="E138">
        <v>10000000</v>
      </c>
      <c r="F138" t="s">
        <v>22</v>
      </c>
      <c r="G138" t="s">
        <v>141</v>
      </c>
      <c r="H138" s="10">
        <v>29272</v>
      </c>
      <c r="I138" s="10" t="s">
        <v>115</v>
      </c>
      <c r="K138" t="s">
        <v>42</v>
      </c>
      <c r="L138" t="s">
        <v>385</v>
      </c>
      <c r="M138" t="s">
        <v>381</v>
      </c>
      <c r="N138" s="11" t="str">
        <f>Base_CRM[[#This Row],[Cidade]]&amp;"/"&amp;Base_CRM[[#This Row],[Estado]]</f>
        <v>BARUERI/</v>
      </c>
      <c r="O138" s="12">
        <f>IFERROR(IF(Base_CRM[[#This Row],[PL Tailor]]&gt;Base_CRM[[#This Row],[PL Declarado]],1,Base_CRM[[#This Row],[PL Tailor]]/Base_CRM[[#This Row],[PL Declarado]]),0)</f>
        <v>1</v>
      </c>
      <c r="P138" s="11" t="str">
        <f>IF(Base_CRM[[#This Row],[Estado Civil]]="","PESSOA JURÍDICA","PESSOA FÍSICA")</f>
        <v>PESSOA FÍSICA</v>
      </c>
      <c r="Q138" t="str">
        <f>_xlfn.XLOOKUP(Base_CRM[[#This Row],[Cód do Cliente]],'[1]F &amp; O'!$A:$A,'[1]F &amp; O'!$F:$F,_xlfn.XLOOKUP(Base_CRM[[#This Row],[Assessor]],[1]DePara!$A:$A,[1]DePara!$D:$D,"Outros",0,1),0,1)</f>
        <v>Raphael Farias</v>
      </c>
      <c r="R138" s="11" t="str">
        <f>_xlfn.XLOOKUP(Base_CRM[[#This Row],[Cód do Cliente]],'[1]F &amp; O'!$A:$A,'[1]F &amp; O'!D:D,"Sem Finder",0,1)</f>
        <v>Sem Finder</v>
      </c>
      <c r="S138" s="11" t="str">
        <f>_xlfn.XLOOKUP(Base_CRM[[#This Row],[Cód do Cliente]],'[1]F &amp; O'!$A:$A,'[1]F &amp; O'!E:E,"Sem Canal",0,1)</f>
        <v>Sem Canal</v>
      </c>
      <c r="T138" s="11" t="str">
        <f t="shared" si="2"/>
        <v>Cliente XP</v>
      </c>
    </row>
    <row r="139" spans="1:20" x14ac:dyDescent="0.3">
      <c r="A139">
        <v>16698255</v>
      </c>
      <c r="B139" s="8" t="s">
        <v>386</v>
      </c>
      <c r="C139" s="9" t="s">
        <v>103</v>
      </c>
      <c r="D139" s="8">
        <v>0</v>
      </c>
      <c r="E139">
        <v>1000</v>
      </c>
      <c r="F139" t="s">
        <v>29</v>
      </c>
      <c r="G139" t="s">
        <v>35</v>
      </c>
      <c r="H139" s="10">
        <v>35331</v>
      </c>
      <c r="I139" s="10" t="s">
        <v>24</v>
      </c>
      <c r="K139" t="s">
        <v>42</v>
      </c>
      <c r="L139" t="s">
        <v>387</v>
      </c>
      <c r="M139" t="s">
        <v>60</v>
      </c>
      <c r="N139" s="11" t="str">
        <f>Base_CRM[[#This Row],[Cidade]]&amp;"/"&amp;Base_CRM[[#This Row],[Estado]]</f>
        <v>RIO DE JANEIRO/</v>
      </c>
      <c r="O139" s="12">
        <f>IFERROR(IF(Base_CRM[[#This Row],[PL Tailor]]&gt;Base_CRM[[#This Row],[PL Declarado]],1,Base_CRM[[#This Row],[PL Tailor]]/Base_CRM[[#This Row],[PL Declarado]]),0)</f>
        <v>0</v>
      </c>
      <c r="P139" s="11" t="str">
        <f>IF(Base_CRM[[#This Row],[Estado Civil]]="","PESSOA JURÍDICA","PESSOA FÍSICA")</f>
        <v>PESSOA FÍSICA</v>
      </c>
      <c r="Q139" t="str">
        <f>_xlfn.XLOOKUP(Base_CRM[[#This Row],[Cód do Cliente]],'[1]F &amp; O'!$A:$A,'[1]F &amp; O'!$F:$F,_xlfn.XLOOKUP(Base_CRM[[#This Row],[Assessor]],[1]DePara!$A:$A,[1]DePara!$D:$D,"Outros",0,1),0,1)</f>
        <v>Raphael Pereira</v>
      </c>
      <c r="R139" s="11" t="str">
        <f>_xlfn.XLOOKUP(Base_CRM[[#This Row],[Cód do Cliente]],'[1]F &amp; O'!$A:$A,'[1]F &amp; O'!D:D,"Sem Finder",0,1)</f>
        <v>Sem Finder</v>
      </c>
      <c r="S139" s="11" t="str">
        <f>_xlfn.XLOOKUP(Base_CRM[[#This Row],[Cód do Cliente]],'[1]F &amp; O'!$A:$A,'[1]F &amp; O'!E:E,"Sem Canal",0,1)</f>
        <v>Sem Canal</v>
      </c>
      <c r="T139" s="11" t="str">
        <f t="shared" si="2"/>
        <v>Cliente XP</v>
      </c>
    </row>
    <row r="140" spans="1:20" x14ac:dyDescent="0.3">
      <c r="A140">
        <v>16704972</v>
      </c>
      <c r="B140" s="8" t="s">
        <v>388</v>
      </c>
      <c r="C140" s="9" t="s">
        <v>39</v>
      </c>
      <c r="D140" s="8">
        <v>61931.73</v>
      </c>
      <c r="E140">
        <v>170000</v>
      </c>
      <c r="G140" t="s">
        <v>389</v>
      </c>
      <c r="H140" s="10">
        <v>21754</v>
      </c>
      <c r="I140" s="10" t="s">
        <v>31</v>
      </c>
      <c r="K140" t="s">
        <v>68</v>
      </c>
      <c r="L140" t="s">
        <v>390</v>
      </c>
      <c r="N140" s="11" t="str">
        <f>Base_CRM[[#This Row],[Cidade]]&amp;"/"&amp;Base_CRM[[#This Row],[Estado]]</f>
        <v>SAO PAULO/</v>
      </c>
      <c r="O140" s="12">
        <f>IFERROR(IF(Base_CRM[[#This Row],[PL Tailor]]&gt;Base_CRM[[#This Row],[PL Declarado]],1,Base_CRM[[#This Row],[PL Tailor]]/Base_CRM[[#This Row],[PL Declarado]]),0)</f>
        <v>0.36430429411764709</v>
      </c>
      <c r="P140" s="11" t="str">
        <f>IF(Base_CRM[[#This Row],[Estado Civil]]="","PESSOA JURÍDICA","PESSOA FÍSICA")</f>
        <v>PESSOA FÍSICA</v>
      </c>
      <c r="Q140" t="str">
        <f>_xlfn.XLOOKUP(Base_CRM[[#This Row],[Cód do Cliente]],'[1]F &amp; O'!$A:$A,'[1]F &amp; O'!$F:$F,_xlfn.XLOOKUP(Base_CRM[[#This Row],[Assessor]],[1]DePara!$A:$A,[1]DePara!$D:$D,"Outros",0,1),0,1)</f>
        <v>Gestora</v>
      </c>
      <c r="R140" s="11" t="str">
        <f>_xlfn.XLOOKUP(Base_CRM[[#This Row],[Cód do Cliente]],'[1]F &amp; O'!$A:$A,'[1]F &amp; O'!D:D,"Sem Finder",0,1)</f>
        <v>Sem Finder</v>
      </c>
      <c r="S140" s="11" t="str">
        <f>_xlfn.XLOOKUP(Base_CRM[[#This Row],[Cód do Cliente]],'[1]F &amp; O'!$A:$A,'[1]F &amp; O'!E:E,"Sem Canal",0,1)</f>
        <v>Gestora</v>
      </c>
      <c r="T140" s="11" t="str">
        <f t="shared" si="2"/>
        <v>Cliente XP</v>
      </c>
    </row>
    <row r="141" spans="1:20" x14ac:dyDescent="0.3">
      <c r="A141">
        <v>16724473</v>
      </c>
      <c r="B141" s="8" t="s">
        <v>391</v>
      </c>
      <c r="C141" s="9" t="s">
        <v>74</v>
      </c>
      <c r="D141" s="8">
        <v>0</v>
      </c>
      <c r="E141">
        <v>30000</v>
      </c>
      <c r="F141" t="s">
        <v>29</v>
      </c>
      <c r="H141" s="10">
        <v>25304</v>
      </c>
      <c r="I141" s="10" t="s">
        <v>24</v>
      </c>
      <c r="K141" t="s">
        <v>68</v>
      </c>
      <c r="L141" t="s">
        <v>392</v>
      </c>
      <c r="N141" s="11" t="str">
        <f>Base_CRM[[#This Row],[Cidade]]&amp;"/"&amp;Base_CRM[[#This Row],[Estado]]</f>
        <v>RIO DE JANEIRO/</v>
      </c>
      <c r="O141" s="12">
        <f>IFERROR(IF(Base_CRM[[#This Row],[PL Tailor]]&gt;Base_CRM[[#This Row],[PL Declarado]],1,Base_CRM[[#This Row],[PL Tailor]]/Base_CRM[[#This Row],[PL Declarado]]),0)</f>
        <v>0</v>
      </c>
      <c r="P141" s="11" t="str">
        <f>IF(Base_CRM[[#This Row],[Estado Civil]]="","PESSOA JURÍDICA","PESSOA FÍSICA")</f>
        <v>PESSOA FÍSICA</v>
      </c>
      <c r="Q141" t="str">
        <f>_xlfn.XLOOKUP(Base_CRM[[#This Row],[Cód do Cliente]],'[1]F &amp; O'!$A:$A,'[1]F &amp; O'!$F:$F,_xlfn.XLOOKUP(Base_CRM[[#This Row],[Assessor]],[1]DePara!$A:$A,[1]DePara!$D:$D,"Outros",0,1),0,1)</f>
        <v>Thayane Freitas</v>
      </c>
      <c r="R141" s="11" t="str">
        <f>_xlfn.XLOOKUP(Base_CRM[[#This Row],[Cód do Cliente]],'[1]F &amp; O'!$A:$A,'[1]F &amp; O'!D:D,"Sem Finder",0,1)</f>
        <v>Sem Finder</v>
      </c>
      <c r="S141" s="11" t="str">
        <f>_xlfn.XLOOKUP(Base_CRM[[#This Row],[Cód do Cliente]],'[1]F &amp; O'!$A:$A,'[1]F &amp; O'!E:E,"Sem Canal",0,1)</f>
        <v>Sem Canal</v>
      </c>
      <c r="T141" s="11" t="str">
        <f t="shared" si="2"/>
        <v>Cliente XP</v>
      </c>
    </row>
    <row r="142" spans="1:20" x14ac:dyDescent="0.3">
      <c r="A142">
        <v>16779251</v>
      </c>
      <c r="B142" s="8" t="s">
        <v>393</v>
      </c>
      <c r="C142" s="9" t="s">
        <v>21</v>
      </c>
      <c r="D142" s="8">
        <v>2842546.94</v>
      </c>
      <c r="E142">
        <v>20000000</v>
      </c>
      <c r="F142" t="s">
        <v>22</v>
      </c>
      <c r="G142" t="s">
        <v>67</v>
      </c>
      <c r="H142" s="10">
        <v>29840</v>
      </c>
      <c r="I142" s="10" t="s">
        <v>349</v>
      </c>
      <c r="K142" t="s">
        <v>25</v>
      </c>
      <c r="L142" t="s">
        <v>394</v>
      </c>
      <c r="M142" t="s">
        <v>395</v>
      </c>
      <c r="N142" s="11" t="str">
        <f>Base_CRM[[#This Row],[Cidade]]&amp;"/"&amp;Base_CRM[[#This Row],[Estado]]</f>
        <v>São Paulo/</v>
      </c>
      <c r="O142" s="12">
        <f>IFERROR(IF(Base_CRM[[#This Row],[PL Tailor]]&gt;Base_CRM[[#This Row],[PL Declarado]],1,Base_CRM[[#This Row],[PL Tailor]]/Base_CRM[[#This Row],[PL Declarado]]),0)</f>
        <v>0.14212734699999999</v>
      </c>
      <c r="P142" s="11" t="str">
        <f>IF(Base_CRM[[#This Row],[Estado Civil]]="","PESSOA JURÍDICA","PESSOA FÍSICA")</f>
        <v>PESSOA FÍSICA</v>
      </c>
      <c r="Q142" t="str">
        <f>_xlfn.XLOOKUP(Base_CRM[[#This Row],[Cód do Cliente]],'[1]F &amp; O'!$A:$A,'[1]F &amp; O'!$F:$F,_xlfn.XLOOKUP(Base_CRM[[#This Row],[Assessor]],[1]DePara!$A:$A,[1]DePara!$D:$D,"Outros",0,1),0,1)</f>
        <v>Leonardo Burle</v>
      </c>
      <c r="R142" s="11" t="str">
        <f>_xlfn.XLOOKUP(Base_CRM[[#This Row],[Cód do Cliente]],'[1]F &amp; O'!$A:$A,'[1]F &amp; O'!D:D,"Sem Finder",0,1)</f>
        <v>Sem Finder</v>
      </c>
      <c r="S142" s="11" t="str">
        <f>_xlfn.XLOOKUP(Base_CRM[[#This Row],[Cód do Cliente]],'[1]F &amp; O'!$A:$A,'[1]F &amp; O'!E:E,"Sem Canal",0,1)</f>
        <v>Sem Canal</v>
      </c>
      <c r="T142" s="11" t="str">
        <f t="shared" si="2"/>
        <v>Cliente XP</v>
      </c>
    </row>
    <row r="143" spans="1:20" x14ac:dyDescent="0.3">
      <c r="A143">
        <v>16818097</v>
      </c>
      <c r="B143" s="8" t="s">
        <v>396</v>
      </c>
      <c r="C143" s="9" t="s">
        <v>48</v>
      </c>
      <c r="D143" s="8">
        <v>0</v>
      </c>
      <c r="E143">
        <v>1000</v>
      </c>
      <c r="F143" t="s">
        <v>22</v>
      </c>
      <c r="G143" t="s">
        <v>67</v>
      </c>
      <c r="H143" s="10">
        <v>22885</v>
      </c>
      <c r="I143" s="10" t="s">
        <v>397</v>
      </c>
      <c r="K143" t="s">
        <v>88</v>
      </c>
      <c r="L143" t="s">
        <v>398</v>
      </c>
      <c r="N143" s="11" t="str">
        <f>Base_CRM[[#This Row],[Cidade]]&amp;"/"&amp;Base_CRM[[#This Row],[Estado]]</f>
        <v>TERESINA/</v>
      </c>
      <c r="O143" s="12">
        <f>IFERROR(IF(Base_CRM[[#This Row],[PL Tailor]]&gt;Base_CRM[[#This Row],[PL Declarado]],1,Base_CRM[[#This Row],[PL Tailor]]/Base_CRM[[#This Row],[PL Declarado]]),0)</f>
        <v>0</v>
      </c>
      <c r="P143" s="11" t="str">
        <f>IF(Base_CRM[[#This Row],[Estado Civil]]="","PESSOA JURÍDICA","PESSOA FÍSICA")</f>
        <v>PESSOA FÍSICA</v>
      </c>
      <c r="Q143" t="str">
        <f>_xlfn.XLOOKUP(Base_CRM[[#This Row],[Cód do Cliente]],'[1]F &amp; O'!$A:$A,'[1]F &amp; O'!$F:$F,_xlfn.XLOOKUP(Base_CRM[[#This Row],[Assessor]],[1]DePara!$A:$A,[1]DePara!$D:$D,"Outros",0,1),0,1)</f>
        <v>Raphael Farias</v>
      </c>
      <c r="R143" s="11" t="str">
        <f>_xlfn.XLOOKUP(Base_CRM[[#This Row],[Cód do Cliente]],'[1]F &amp; O'!$A:$A,'[1]F &amp; O'!D:D,"Sem Finder",0,1)</f>
        <v>Sem Finder</v>
      </c>
      <c r="S143" s="11" t="str">
        <f>_xlfn.XLOOKUP(Base_CRM[[#This Row],[Cód do Cliente]],'[1]F &amp; O'!$A:$A,'[1]F &amp; O'!E:E,"Sem Canal",0,1)</f>
        <v>Sem Canal</v>
      </c>
      <c r="T143" s="11" t="str">
        <f t="shared" si="2"/>
        <v>Cliente XP</v>
      </c>
    </row>
    <row r="144" spans="1:20" x14ac:dyDescent="0.3">
      <c r="A144">
        <v>16949702</v>
      </c>
      <c r="B144" s="8" t="s">
        <v>399</v>
      </c>
      <c r="C144" s="9" t="s">
        <v>34</v>
      </c>
      <c r="D144" s="8">
        <v>0</v>
      </c>
      <c r="E144">
        <v>2475000</v>
      </c>
      <c r="F144" t="s">
        <v>29</v>
      </c>
      <c r="G144" t="s">
        <v>127</v>
      </c>
      <c r="H144" s="10">
        <v>19210</v>
      </c>
      <c r="I144" s="10" t="s">
        <v>130</v>
      </c>
      <c r="K144" t="s">
        <v>42</v>
      </c>
      <c r="L144" t="s">
        <v>400</v>
      </c>
      <c r="N144" s="11" t="str">
        <f>Base_CRM[[#This Row],[Cidade]]&amp;"/"&amp;Base_CRM[[#This Row],[Estado]]</f>
        <v>FLORIANOPOLIS/</v>
      </c>
      <c r="O144" s="12">
        <f>IFERROR(IF(Base_CRM[[#This Row],[PL Tailor]]&gt;Base_CRM[[#This Row],[PL Declarado]],1,Base_CRM[[#This Row],[PL Tailor]]/Base_CRM[[#This Row],[PL Declarado]]),0)</f>
        <v>0</v>
      </c>
      <c r="P144" s="11" t="str">
        <f>IF(Base_CRM[[#This Row],[Estado Civil]]="","PESSOA JURÍDICA","PESSOA FÍSICA")</f>
        <v>PESSOA FÍSICA</v>
      </c>
      <c r="Q144" t="str">
        <f>_xlfn.XLOOKUP(Base_CRM[[#This Row],[Cód do Cliente]],'[1]F &amp; O'!$A:$A,'[1]F &amp; O'!$F:$F,_xlfn.XLOOKUP(Base_CRM[[#This Row],[Assessor]],[1]DePara!$A:$A,[1]DePara!$D:$D,"Outros",0,1),0,1)</f>
        <v>Adonias Noronha</v>
      </c>
      <c r="R144" s="11" t="str">
        <f>_xlfn.XLOOKUP(Base_CRM[[#This Row],[Cód do Cliente]],'[1]F &amp; O'!$A:$A,'[1]F &amp; O'!D:D,"Sem Finder",0,1)</f>
        <v>Sem Finder</v>
      </c>
      <c r="S144" s="11" t="str">
        <f>_xlfn.XLOOKUP(Base_CRM[[#This Row],[Cód do Cliente]],'[1]F &amp; O'!$A:$A,'[1]F &amp; O'!E:E,"Sem Canal",0,1)</f>
        <v>Sem Canal</v>
      </c>
      <c r="T144" s="11" t="str">
        <f t="shared" si="2"/>
        <v>Cliente XP</v>
      </c>
    </row>
    <row r="145" spans="1:20" x14ac:dyDescent="0.3">
      <c r="A145">
        <v>16949781</v>
      </c>
      <c r="B145" s="8" t="s">
        <v>401</v>
      </c>
      <c r="C145" s="9" t="s">
        <v>34</v>
      </c>
      <c r="D145" s="8">
        <v>0</v>
      </c>
      <c r="E145">
        <v>1500000</v>
      </c>
      <c r="F145" t="s">
        <v>29</v>
      </c>
      <c r="G145" t="s">
        <v>127</v>
      </c>
      <c r="H145" s="10">
        <v>18295</v>
      </c>
      <c r="I145" s="10" t="s">
        <v>402</v>
      </c>
      <c r="K145" t="s">
        <v>42</v>
      </c>
      <c r="L145" t="s">
        <v>403</v>
      </c>
      <c r="N145" s="11" t="str">
        <f>Base_CRM[[#This Row],[Cidade]]&amp;"/"&amp;Base_CRM[[#This Row],[Estado]]</f>
        <v>Florianópolis/</v>
      </c>
      <c r="O145" s="12">
        <f>IFERROR(IF(Base_CRM[[#This Row],[PL Tailor]]&gt;Base_CRM[[#This Row],[PL Declarado]],1,Base_CRM[[#This Row],[PL Tailor]]/Base_CRM[[#This Row],[PL Declarado]]),0)</f>
        <v>0</v>
      </c>
      <c r="P145" s="11" t="str">
        <f>IF(Base_CRM[[#This Row],[Estado Civil]]="","PESSOA JURÍDICA","PESSOA FÍSICA")</f>
        <v>PESSOA FÍSICA</v>
      </c>
      <c r="Q145" t="str">
        <f>_xlfn.XLOOKUP(Base_CRM[[#This Row],[Cód do Cliente]],'[1]F &amp; O'!$A:$A,'[1]F &amp; O'!$F:$F,_xlfn.XLOOKUP(Base_CRM[[#This Row],[Assessor]],[1]DePara!$A:$A,[1]DePara!$D:$D,"Outros",0,1),0,1)</f>
        <v>Adonias Noronha</v>
      </c>
      <c r="R145" s="11" t="str">
        <f>_xlfn.XLOOKUP(Base_CRM[[#This Row],[Cód do Cliente]],'[1]F &amp; O'!$A:$A,'[1]F &amp; O'!D:D,"Sem Finder",0,1)</f>
        <v>Sem Finder</v>
      </c>
      <c r="S145" s="11" t="str">
        <f>_xlfn.XLOOKUP(Base_CRM[[#This Row],[Cód do Cliente]],'[1]F &amp; O'!$A:$A,'[1]F &amp; O'!E:E,"Sem Canal",0,1)</f>
        <v>Sem Canal</v>
      </c>
      <c r="T145" s="11" t="str">
        <f t="shared" si="2"/>
        <v>Cliente XP</v>
      </c>
    </row>
    <row r="146" spans="1:20" x14ac:dyDescent="0.3">
      <c r="A146">
        <v>17108919</v>
      </c>
      <c r="B146" s="8" t="s">
        <v>404</v>
      </c>
      <c r="C146" s="9" t="s">
        <v>39</v>
      </c>
      <c r="D146" s="8">
        <v>52149.55</v>
      </c>
      <c r="E146">
        <v>68000</v>
      </c>
      <c r="G146" t="s">
        <v>45</v>
      </c>
      <c r="H146" s="10">
        <v>38817</v>
      </c>
      <c r="I146" s="10" t="s">
        <v>31</v>
      </c>
      <c r="K146" t="s">
        <v>25</v>
      </c>
      <c r="L146" t="s">
        <v>405</v>
      </c>
      <c r="N146" s="11" t="str">
        <f>Base_CRM[[#This Row],[Cidade]]&amp;"/"&amp;Base_CRM[[#This Row],[Estado]]</f>
        <v>SAO PAULO/</v>
      </c>
      <c r="O146" s="12">
        <f>IFERROR(IF(Base_CRM[[#This Row],[PL Tailor]]&gt;Base_CRM[[#This Row],[PL Declarado]],1,Base_CRM[[#This Row],[PL Tailor]]/Base_CRM[[#This Row],[PL Declarado]]),0)</f>
        <v>0.76690514705882362</v>
      </c>
      <c r="P146" s="11" t="str">
        <f>IF(Base_CRM[[#This Row],[Estado Civil]]="","PESSOA JURÍDICA","PESSOA FÍSICA")</f>
        <v>PESSOA FÍSICA</v>
      </c>
      <c r="Q146" t="str">
        <f>_xlfn.XLOOKUP(Base_CRM[[#This Row],[Cód do Cliente]],'[1]F &amp; O'!$A:$A,'[1]F &amp; O'!$F:$F,_xlfn.XLOOKUP(Base_CRM[[#This Row],[Assessor]],[1]DePara!$A:$A,[1]DePara!$D:$D,"Outros",0,1),0,1)</f>
        <v>Gestora</v>
      </c>
      <c r="R146" s="11" t="str">
        <f>_xlfn.XLOOKUP(Base_CRM[[#This Row],[Cód do Cliente]],'[1]F &amp; O'!$A:$A,'[1]F &amp; O'!D:D,"Sem Finder",0,1)</f>
        <v>Sem Finder</v>
      </c>
      <c r="S146" s="11" t="str">
        <f>_xlfn.XLOOKUP(Base_CRM[[#This Row],[Cód do Cliente]],'[1]F &amp; O'!$A:$A,'[1]F &amp; O'!E:E,"Sem Canal",0,1)</f>
        <v>Gestora</v>
      </c>
      <c r="T146" s="11" t="str">
        <f t="shared" si="2"/>
        <v>Cliente XP</v>
      </c>
    </row>
    <row r="147" spans="1:20" x14ac:dyDescent="0.3">
      <c r="A147">
        <v>17125519</v>
      </c>
      <c r="B147" s="8" t="s">
        <v>406</v>
      </c>
      <c r="C147" s="9" t="s">
        <v>66</v>
      </c>
      <c r="D147" s="8">
        <v>11498067.99</v>
      </c>
      <c r="E147">
        <v>7000000</v>
      </c>
      <c r="F147" t="s">
        <v>22</v>
      </c>
      <c r="G147" t="s">
        <v>87</v>
      </c>
      <c r="H147" s="10">
        <v>23022</v>
      </c>
      <c r="I147" s="10" t="s">
        <v>31</v>
      </c>
      <c r="K147" t="s">
        <v>25</v>
      </c>
      <c r="L147" t="s">
        <v>407</v>
      </c>
      <c r="M147" t="s">
        <v>355</v>
      </c>
      <c r="N147" s="11" t="str">
        <f>Base_CRM[[#This Row],[Cidade]]&amp;"/"&amp;Base_CRM[[#This Row],[Estado]]</f>
        <v>SAO PAULO/</v>
      </c>
      <c r="O147" s="12">
        <f>IFERROR(IF(Base_CRM[[#This Row],[PL Tailor]]&gt;Base_CRM[[#This Row],[PL Declarado]],1,Base_CRM[[#This Row],[PL Tailor]]/Base_CRM[[#This Row],[PL Declarado]]),0)</f>
        <v>1</v>
      </c>
      <c r="P147" s="11" t="str">
        <f>IF(Base_CRM[[#This Row],[Estado Civil]]="","PESSOA JURÍDICA","PESSOA FÍSICA")</f>
        <v>PESSOA FÍSICA</v>
      </c>
      <c r="Q147" t="str">
        <f>_xlfn.XLOOKUP(Base_CRM[[#This Row],[Cód do Cliente]],'[1]F &amp; O'!$A:$A,'[1]F &amp; O'!$F:$F,_xlfn.XLOOKUP(Base_CRM[[#This Row],[Assessor]],[1]DePara!$A:$A,[1]DePara!$D:$D,"Outros",0,1),0,1)</f>
        <v>Caroline Vlavianos</v>
      </c>
      <c r="R147" s="11" t="str">
        <f>_xlfn.XLOOKUP(Base_CRM[[#This Row],[Cód do Cliente]],'[1]F &amp; O'!$A:$A,'[1]F &amp; O'!D:D,"Sem Finder",0,1)</f>
        <v>Sem Finder</v>
      </c>
      <c r="S147" s="11" t="str">
        <f>_xlfn.XLOOKUP(Base_CRM[[#This Row],[Cód do Cliente]],'[1]F &amp; O'!$A:$A,'[1]F &amp; O'!E:E,"Sem Canal",0,1)</f>
        <v>Sem Canal</v>
      </c>
      <c r="T147" s="11" t="str">
        <f t="shared" si="2"/>
        <v>Cliente XP</v>
      </c>
    </row>
    <row r="148" spans="1:20" x14ac:dyDescent="0.3">
      <c r="A148">
        <v>17144889</v>
      </c>
      <c r="B148" s="8" t="s">
        <v>408</v>
      </c>
      <c r="C148" s="9" t="s">
        <v>21</v>
      </c>
      <c r="D148" s="8">
        <v>4963293.26</v>
      </c>
      <c r="E148">
        <v>11000000</v>
      </c>
      <c r="F148" t="s">
        <v>22</v>
      </c>
      <c r="G148" t="s">
        <v>67</v>
      </c>
      <c r="H148" s="10">
        <v>31543</v>
      </c>
      <c r="I148" s="10" t="s">
        <v>31</v>
      </c>
      <c r="K148" t="s">
        <v>25</v>
      </c>
      <c r="L148" t="s">
        <v>409</v>
      </c>
      <c r="M148" t="s">
        <v>64</v>
      </c>
      <c r="N148" s="11" t="str">
        <f>Base_CRM[[#This Row],[Cidade]]&amp;"/"&amp;Base_CRM[[#This Row],[Estado]]</f>
        <v>SAO PAULO/</v>
      </c>
      <c r="O148" s="12">
        <f>IFERROR(IF(Base_CRM[[#This Row],[PL Tailor]]&gt;Base_CRM[[#This Row],[PL Declarado]],1,Base_CRM[[#This Row],[PL Tailor]]/Base_CRM[[#This Row],[PL Declarado]]),0)</f>
        <v>0.45120847818181814</v>
      </c>
      <c r="P148" s="11" t="str">
        <f>IF(Base_CRM[[#This Row],[Estado Civil]]="","PESSOA JURÍDICA","PESSOA FÍSICA")</f>
        <v>PESSOA FÍSICA</v>
      </c>
      <c r="Q148" t="str">
        <f>_xlfn.XLOOKUP(Base_CRM[[#This Row],[Cód do Cliente]],'[1]F &amp; O'!$A:$A,'[1]F &amp; O'!$F:$F,_xlfn.XLOOKUP(Base_CRM[[#This Row],[Assessor]],[1]DePara!$A:$A,[1]DePara!$D:$D,"Outros",0,1),0,1)</f>
        <v>Leonardo Burle</v>
      </c>
      <c r="R148" s="11" t="str">
        <f>_xlfn.XLOOKUP(Base_CRM[[#This Row],[Cód do Cliente]],'[1]F &amp; O'!$A:$A,'[1]F &amp; O'!D:D,"Sem Finder",0,1)</f>
        <v>Sem Finder</v>
      </c>
      <c r="S148" s="11" t="str">
        <f>_xlfn.XLOOKUP(Base_CRM[[#This Row],[Cód do Cliente]],'[1]F &amp; O'!$A:$A,'[1]F &amp; O'!E:E,"Sem Canal",0,1)</f>
        <v>Sem Canal</v>
      </c>
      <c r="T148" s="11" t="str">
        <f t="shared" si="2"/>
        <v>Cliente XP</v>
      </c>
    </row>
    <row r="149" spans="1:20" x14ac:dyDescent="0.3">
      <c r="A149">
        <v>17151648</v>
      </c>
      <c r="B149" s="8" t="s">
        <v>284</v>
      </c>
      <c r="C149" s="9" t="s">
        <v>39</v>
      </c>
      <c r="D149" s="8">
        <v>61298.46</v>
      </c>
      <c r="E149">
        <v>1000000</v>
      </c>
      <c r="F149" t="s">
        <v>22</v>
      </c>
      <c r="G149" t="s">
        <v>87</v>
      </c>
      <c r="H149" s="10">
        <v>32434</v>
      </c>
      <c r="I149" s="10" t="s">
        <v>285</v>
      </c>
      <c r="K149" t="s">
        <v>42</v>
      </c>
      <c r="L149" t="s">
        <v>286</v>
      </c>
      <c r="N149" s="11" t="str">
        <f>Base_CRM[[#This Row],[Cidade]]&amp;"/"&amp;Base_CRM[[#This Row],[Estado]]</f>
        <v>SANTANA DE PARNAIBA/</v>
      </c>
      <c r="O149" s="12">
        <f>IFERROR(IF(Base_CRM[[#This Row],[PL Tailor]]&gt;Base_CRM[[#This Row],[PL Declarado]],1,Base_CRM[[#This Row],[PL Tailor]]/Base_CRM[[#This Row],[PL Declarado]]),0)</f>
        <v>6.1298459999999999E-2</v>
      </c>
      <c r="P149" s="11" t="str">
        <f>IF(Base_CRM[[#This Row],[Estado Civil]]="","PESSOA JURÍDICA","PESSOA FÍSICA")</f>
        <v>PESSOA FÍSICA</v>
      </c>
      <c r="Q149" t="str">
        <f>_xlfn.XLOOKUP(Base_CRM[[#This Row],[Cód do Cliente]],'[1]F &amp; O'!$A:$A,'[1]F &amp; O'!$F:$F,_xlfn.XLOOKUP(Base_CRM[[#This Row],[Assessor]],[1]DePara!$A:$A,[1]DePara!$D:$D,"Outros",0,1),0,1)</f>
        <v>Gestora</v>
      </c>
      <c r="R149" s="11" t="str">
        <f>_xlfn.XLOOKUP(Base_CRM[[#This Row],[Cód do Cliente]],'[1]F &amp; O'!$A:$A,'[1]F &amp; O'!D:D,"Sem Finder",0,1)</f>
        <v>Sem Finder</v>
      </c>
      <c r="S149" s="11" t="str">
        <f>_xlfn.XLOOKUP(Base_CRM[[#This Row],[Cód do Cliente]],'[1]F &amp; O'!$A:$A,'[1]F &amp; O'!E:E,"Sem Canal",0,1)</f>
        <v>Gestora</v>
      </c>
      <c r="T149" s="11" t="str">
        <f t="shared" si="2"/>
        <v>Cliente XP</v>
      </c>
    </row>
    <row r="150" spans="1:20" x14ac:dyDescent="0.3">
      <c r="A150">
        <v>17152802</v>
      </c>
      <c r="B150" s="8" t="s">
        <v>410</v>
      </c>
      <c r="C150" s="9" t="s">
        <v>48</v>
      </c>
      <c r="D150" s="8">
        <v>94710.9</v>
      </c>
      <c r="E150">
        <v>7000</v>
      </c>
      <c r="F150" t="s">
        <v>29</v>
      </c>
      <c r="G150" t="s">
        <v>87</v>
      </c>
      <c r="H150" s="10">
        <v>36810</v>
      </c>
      <c r="I150" s="10" t="s">
        <v>31</v>
      </c>
      <c r="K150" t="s">
        <v>25</v>
      </c>
      <c r="L150" t="s">
        <v>411</v>
      </c>
      <c r="N150" s="11" t="str">
        <f>Base_CRM[[#This Row],[Cidade]]&amp;"/"&amp;Base_CRM[[#This Row],[Estado]]</f>
        <v>SAO PAULO/</v>
      </c>
      <c r="O150" s="12">
        <f>IFERROR(IF(Base_CRM[[#This Row],[PL Tailor]]&gt;Base_CRM[[#This Row],[PL Declarado]],1,Base_CRM[[#This Row],[PL Tailor]]/Base_CRM[[#This Row],[PL Declarado]]),0)</f>
        <v>1</v>
      </c>
      <c r="P150" s="11" t="str">
        <f>IF(Base_CRM[[#This Row],[Estado Civil]]="","PESSOA JURÍDICA","PESSOA FÍSICA")</f>
        <v>PESSOA FÍSICA</v>
      </c>
      <c r="Q150" t="str">
        <f>_xlfn.XLOOKUP(Base_CRM[[#This Row],[Cód do Cliente]],'[1]F &amp; O'!$A:$A,'[1]F &amp; O'!$F:$F,_xlfn.XLOOKUP(Base_CRM[[#This Row],[Assessor]],[1]DePara!$A:$A,[1]DePara!$D:$D,"Outros",0,1),0,1)</f>
        <v>Raphael Farias</v>
      </c>
      <c r="R150" s="11" t="str">
        <f>_xlfn.XLOOKUP(Base_CRM[[#This Row],[Cód do Cliente]],'[1]F &amp; O'!$A:$A,'[1]F &amp; O'!D:D,"Sem Finder",0,1)</f>
        <v>Sem Finder</v>
      </c>
      <c r="S150" s="11" t="str">
        <f>_xlfn.XLOOKUP(Base_CRM[[#This Row],[Cód do Cliente]],'[1]F &amp; O'!$A:$A,'[1]F &amp; O'!E:E,"Sem Canal",0,1)</f>
        <v>Sem Canal</v>
      </c>
      <c r="T150" s="11" t="str">
        <f t="shared" si="2"/>
        <v>Cliente XP</v>
      </c>
    </row>
    <row r="151" spans="1:20" x14ac:dyDescent="0.3">
      <c r="A151">
        <v>17278924</v>
      </c>
      <c r="B151" s="8" t="s">
        <v>412</v>
      </c>
      <c r="C151" s="9" t="s">
        <v>48</v>
      </c>
      <c r="D151" s="8">
        <v>0</v>
      </c>
      <c r="E151">
        <v>10000</v>
      </c>
      <c r="G151" t="s">
        <v>67</v>
      </c>
      <c r="H151" s="10">
        <v>35513</v>
      </c>
      <c r="I151" s="10" t="s">
        <v>24</v>
      </c>
      <c r="K151" t="s">
        <v>25</v>
      </c>
      <c r="L151" t="s">
        <v>413</v>
      </c>
      <c r="N151" s="11" t="str">
        <f>Base_CRM[[#This Row],[Cidade]]&amp;"/"&amp;Base_CRM[[#This Row],[Estado]]</f>
        <v>RIO DE JANEIRO/</v>
      </c>
      <c r="O151" s="12">
        <f>IFERROR(IF(Base_CRM[[#This Row],[PL Tailor]]&gt;Base_CRM[[#This Row],[PL Declarado]],1,Base_CRM[[#This Row],[PL Tailor]]/Base_CRM[[#This Row],[PL Declarado]]),0)</f>
        <v>0</v>
      </c>
      <c r="P151" s="11" t="str">
        <f>IF(Base_CRM[[#This Row],[Estado Civil]]="","PESSOA JURÍDICA","PESSOA FÍSICA")</f>
        <v>PESSOA FÍSICA</v>
      </c>
      <c r="Q151" t="str">
        <f>_xlfn.XLOOKUP(Base_CRM[[#This Row],[Cód do Cliente]],'[1]F &amp; O'!$A:$A,'[1]F &amp; O'!$F:$F,_xlfn.XLOOKUP(Base_CRM[[#This Row],[Assessor]],[1]DePara!$A:$A,[1]DePara!$D:$D,"Outros",0,1),0,1)</f>
        <v>Raphael Farias</v>
      </c>
      <c r="R151" s="11" t="str">
        <f>_xlfn.XLOOKUP(Base_CRM[[#This Row],[Cód do Cliente]],'[1]F &amp; O'!$A:$A,'[1]F &amp; O'!D:D,"Sem Finder",0,1)</f>
        <v>Sem Finder</v>
      </c>
      <c r="S151" s="11" t="str">
        <f>_xlfn.XLOOKUP(Base_CRM[[#This Row],[Cód do Cliente]],'[1]F &amp; O'!$A:$A,'[1]F &amp; O'!E:E,"Sem Canal",0,1)</f>
        <v>Sem Canal</v>
      </c>
      <c r="T151" s="11" t="str">
        <f t="shared" si="2"/>
        <v>Cliente XP</v>
      </c>
    </row>
    <row r="152" spans="1:20" x14ac:dyDescent="0.3">
      <c r="A152">
        <v>17279623</v>
      </c>
      <c r="B152" s="8" t="s">
        <v>414</v>
      </c>
      <c r="C152" s="9" t="s">
        <v>34</v>
      </c>
      <c r="D152" s="8">
        <v>163991.14000000001</v>
      </c>
      <c r="E152">
        <v>500000</v>
      </c>
      <c r="F152" t="s">
        <v>22</v>
      </c>
      <c r="G152" t="s">
        <v>71</v>
      </c>
      <c r="H152" s="10">
        <v>30733</v>
      </c>
      <c r="I152" s="10" t="s">
        <v>349</v>
      </c>
      <c r="K152" t="s">
        <v>25</v>
      </c>
      <c r="L152" t="s">
        <v>415</v>
      </c>
      <c r="M152" t="s">
        <v>90</v>
      </c>
      <c r="N152" s="11" t="str">
        <f>Base_CRM[[#This Row],[Cidade]]&amp;"/"&amp;Base_CRM[[#This Row],[Estado]]</f>
        <v>São Paulo/</v>
      </c>
      <c r="O152" s="12">
        <f>IFERROR(IF(Base_CRM[[#This Row],[PL Tailor]]&gt;Base_CRM[[#This Row],[PL Declarado]],1,Base_CRM[[#This Row],[PL Tailor]]/Base_CRM[[#This Row],[PL Declarado]]),0)</f>
        <v>0.32798228000000001</v>
      </c>
      <c r="P152" s="11" t="str">
        <f>IF(Base_CRM[[#This Row],[Estado Civil]]="","PESSOA JURÍDICA","PESSOA FÍSICA")</f>
        <v>PESSOA FÍSICA</v>
      </c>
      <c r="Q152" t="str">
        <f>_xlfn.XLOOKUP(Base_CRM[[#This Row],[Cód do Cliente]],'[1]F &amp; O'!$A:$A,'[1]F &amp; O'!$F:$F,_xlfn.XLOOKUP(Base_CRM[[#This Row],[Assessor]],[1]DePara!$A:$A,[1]DePara!$D:$D,"Outros",0,1),0,1)</f>
        <v>Adonias Noronha</v>
      </c>
      <c r="R152" s="11" t="str">
        <f>_xlfn.XLOOKUP(Base_CRM[[#This Row],[Cód do Cliente]],'[1]F &amp; O'!$A:$A,'[1]F &amp; O'!D:D,"Sem Finder",0,1)</f>
        <v>Sem Finder</v>
      </c>
      <c r="S152" s="11" t="str">
        <f>_xlfn.XLOOKUP(Base_CRM[[#This Row],[Cód do Cliente]],'[1]F &amp; O'!$A:$A,'[1]F &amp; O'!E:E,"Sem Canal",0,1)</f>
        <v>Sem Canal</v>
      </c>
      <c r="T152" s="11" t="str">
        <f t="shared" si="2"/>
        <v>Cliente XP</v>
      </c>
    </row>
    <row r="153" spans="1:20" x14ac:dyDescent="0.3">
      <c r="A153">
        <v>17283310</v>
      </c>
      <c r="B153" s="8" t="s">
        <v>416</v>
      </c>
      <c r="C153" s="9" t="s">
        <v>48</v>
      </c>
      <c r="D153" s="8">
        <v>23303413.690000001</v>
      </c>
      <c r="E153">
        <v>63000000</v>
      </c>
      <c r="F153" t="s">
        <v>22</v>
      </c>
      <c r="G153" t="s">
        <v>87</v>
      </c>
      <c r="H153" s="10">
        <v>26845</v>
      </c>
      <c r="I153" s="10" t="s">
        <v>379</v>
      </c>
      <c r="K153" t="s">
        <v>42</v>
      </c>
      <c r="L153" t="s">
        <v>417</v>
      </c>
      <c r="M153" t="s">
        <v>381</v>
      </c>
      <c r="N153" s="11" t="str">
        <f>Base_CRM[[#This Row],[Cidade]]&amp;"/"&amp;Base_CRM[[#This Row],[Estado]]</f>
        <v>Barueri/</v>
      </c>
      <c r="O153" s="12">
        <f>IFERROR(IF(Base_CRM[[#This Row],[PL Tailor]]&gt;Base_CRM[[#This Row],[PL Declarado]],1,Base_CRM[[#This Row],[PL Tailor]]/Base_CRM[[#This Row],[PL Declarado]]),0)</f>
        <v>0.36989545539682545</v>
      </c>
      <c r="P153" s="11" t="str">
        <f>IF(Base_CRM[[#This Row],[Estado Civil]]="","PESSOA JURÍDICA","PESSOA FÍSICA")</f>
        <v>PESSOA FÍSICA</v>
      </c>
      <c r="Q153" t="str">
        <f>_xlfn.XLOOKUP(Base_CRM[[#This Row],[Cód do Cliente]],'[1]F &amp; O'!$A:$A,'[1]F &amp; O'!$F:$F,_xlfn.XLOOKUP(Base_CRM[[#This Row],[Assessor]],[1]DePara!$A:$A,[1]DePara!$D:$D,"Outros",0,1),0,1)</f>
        <v>Raphael Farias</v>
      </c>
      <c r="R153" s="11" t="str">
        <f>_xlfn.XLOOKUP(Base_CRM[[#This Row],[Cód do Cliente]],'[1]F &amp; O'!$A:$A,'[1]F &amp; O'!D:D,"Sem Finder",0,1)</f>
        <v>Sem Finder</v>
      </c>
      <c r="S153" s="11" t="str">
        <f>_xlfn.XLOOKUP(Base_CRM[[#This Row],[Cód do Cliente]],'[1]F &amp; O'!$A:$A,'[1]F &amp; O'!E:E,"Sem Canal",0,1)</f>
        <v>Sem Canal</v>
      </c>
      <c r="T153" s="11" t="str">
        <f t="shared" si="2"/>
        <v>Cliente XP</v>
      </c>
    </row>
    <row r="154" spans="1:20" x14ac:dyDescent="0.3">
      <c r="A154">
        <v>17288059</v>
      </c>
      <c r="B154" s="8" t="s">
        <v>418</v>
      </c>
      <c r="C154" s="9" t="s">
        <v>74</v>
      </c>
      <c r="D154" s="8">
        <v>0</v>
      </c>
      <c r="E154">
        <v>20000</v>
      </c>
      <c r="F154" t="s">
        <v>29</v>
      </c>
      <c r="G154" t="s">
        <v>35</v>
      </c>
      <c r="H154" s="10">
        <v>27256</v>
      </c>
      <c r="I154" s="10" t="s">
        <v>115</v>
      </c>
      <c r="K154" t="s">
        <v>42</v>
      </c>
      <c r="L154" t="s">
        <v>419</v>
      </c>
      <c r="N154" s="11" t="str">
        <f>Base_CRM[[#This Row],[Cidade]]&amp;"/"&amp;Base_CRM[[#This Row],[Estado]]</f>
        <v>BARUERI/</v>
      </c>
      <c r="O154" s="12">
        <f>IFERROR(IF(Base_CRM[[#This Row],[PL Tailor]]&gt;Base_CRM[[#This Row],[PL Declarado]],1,Base_CRM[[#This Row],[PL Tailor]]/Base_CRM[[#This Row],[PL Declarado]]),0)</f>
        <v>0</v>
      </c>
      <c r="P154" s="11" t="str">
        <f>IF(Base_CRM[[#This Row],[Estado Civil]]="","PESSOA JURÍDICA","PESSOA FÍSICA")</f>
        <v>PESSOA FÍSICA</v>
      </c>
      <c r="Q154" t="str">
        <f>_xlfn.XLOOKUP(Base_CRM[[#This Row],[Cód do Cliente]],'[1]F &amp; O'!$A:$A,'[1]F &amp; O'!$F:$F,_xlfn.XLOOKUP(Base_CRM[[#This Row],[Assessor]],[1]DePara!$A:$A,[1]DePara!$D:$D,"Outros",0,1),0,1)</f>
        <v>Thayane Freitas</v>
      </c>
      <c r="R154" s="11" t="str">
        <f>_xlfn.XLOOKUP(Base_CRM[[#This Row],[Cód do Cliente]],'[1]F &amp; O'!$A:$A,'[1]F &amp; O'!D:D,"Sem Finder",0,1)</f>
        <v>Sem Finder</v>
      </c>
      <c r="S154" s="11" t="str">
        <f>_xlfn.XLOOKUP(Base_CRM[[#This Row],[Cód do Cliente]],'[1]F &amp; O'!$A:$A,'[1]F &amp; O'!E:E,"Sem Canal",0,1)</f>
        <v>Sem Canal</v>
      </c>
      <c r="T154" s="11" t="str">
        <f t="shared" si="2"/>
        <v>Cliente XP</v>
      </c>
    </row>
    <row r="155" spans="1:20" x14ac:dyDescent="0.3">
      <c r="A155">
        <v>17536615</v>
      </c>
      <c r="B155" s="8" t="s">
        <v>420</v>
      </c>
      <c r="C155" s="9" t="s">
        <v>21</v>
      </c>
      <c r="D155" s="8">
        <v>281260.2</v>
      </c>
      <c r="E155">
        <v>25000000</v>
      </c>
      <c r="F155" t="s">
        <v>29</v>
      </c>
      <c r="G155" t="s">
        <v>23</v>
      </c>
      <c r="H155" s="10">
        <v>18531</v>
      </c>
      <c r="I155" s="10" t="s">
        <v>24</v>
      </c>
      <c r="K155" t="s">
        <v>42</v>
      </c>
      <c r="L155" t="s">
        <v>421</v>
      </c>
      <c r="N155" s="11" t="str">
        <f>Base_CRM[[#This Row],[Cidade]]&amp;"/"&amp;Base_CRM[[#This Row],[Estado]]</f>
        <v>RIO DE JANEIRO/</v>
      </c>
      <c r="O155" s="12">
        <f>IFERROR(IF(Base_CRM[[#This Row],[PL Tailor]]&gt;Base_CRM[[#This Row],[PL Declarado]],1,Base_CRM[[#This Row],[PL Tailor]]/Base_CRM[[#This Row],[PL Declarado]]),0)</f>
        <v>1.1250408E-2</v>
      </c>
      <c r="P155" s="11" t="str">
        <f>IF(Base_CRM[[#This Row],[Estado Civil]]="","PESSOA JURÍDICA","PESSOA FÍSICA")</f>
        <v>PESSOA FÍSICA</v>
      </c>
      <c r="Q155" t="str">
        <f>_xlfn.XLOOKUP(Base_CRM[[#This Row],[Cód do Cliente]],'[1]F &amp; O'!$A:$A,'[1]F &amp; O'!$F:$F,_xlfn.XLOOKUP(Base_CRM[[#This Row],[Assessor]],[1]DePara!$A:$A,[1]DePara!$D:$D,"Outros",0,1),0,1)</f>
        <v>Leonardo Burle</v>
      </c>
      <c r="R155" s="11" t="str">
        <f>_xlfn.XLOOKUP(Base_CRM[[#This Row],[Cód do Cliente]],'[1]F &amp; O'!$A:$A,'[1]F &amp; O'!D:D,"Sem Finder",0,1)</f>
        <v>Sem Finder</v>
      </c>
      <c r="S155" s="11" t="str">
        <f>_xlfn.XLOOKUP(Base_CRM[[#This Row],[Cód do Cliente]],'[1]F &amp; O'!$A:$A,'[1]F &amp; O'!E:E,"Sem Canal",0,1)</f>
        <v>Sem Canal</v>
      </c>
      <c r="T155" s="11" t="str">
        <f t="shared" si="2"/>
        <v>Cliente XP</v>
      </c>
    </row>
    <row r="156" spans="1:20" x14ac:dyDescent="0.3">
      <c r="A156">
        <v>17604487</v>
      </c>
      <c r="B156" s="8" t="s">
        <v>422</v>
      </c>
      <c r="C156" s="9" t="s">
        <v>48</v>
      </c>
      <c r="D156" s="8">
        <v>361860.19</v>
      </c>
      <c r="E156">
        <v>500000</v>
      </c>
      <c r="F156" t="s">
        <v>29</v>
      </c>
      <c r="G156" t="s">
        <v>127</v>
      </c>
      <c r="H156" s="10">
        <v>14985</v>
      </c>
      <c r="I156" s="10" t="s">
        <v>285</v>
      </c>
      <c r="K156" t="s">
        <v>42</v>
      </c>
      <c r="L156" t="s">
        <v>423</v>
      </c>
      <c r="N156" s="11" t="str">
        <f>Base_CRM[[#This Row],[Cidade]]&amp;"/"&amp;Base_CRM[[#This Row],[Estado]]</f>
        <v>SANTANA DE PARNAIBA/</v>
      </c>
      <c r="O156" s="12">
        <f>IFERROR(IF(Base_CRM[[#This Row],[PL Tailor]]&gt;Base_CRM[[#This Row],[PL Declarado]],1,Base_CRM[[#This Row],[PL Tailor]]/Base_CRM[[#This Row],[PL Declarado]]),0)</f>
        <v>0.72372038000000005</v>
      </c>
      <c r="P156" s="11" t="str">
        <f>IF(Base_CRM[[#This Row],[Estado Civil]]="","PESSOA JURÍDICA","PESSOA FÍSICA")</f>
        <v>PESSOA FÍSICA</v>
      </c>
      <c r="Q156" t="str">
        <f>_xlfn.XLOOKUP(Base_CRM[[#This Row],[Cód do Cliente]],'[1]F &amp; O'!$A:$A,'[1]F &amp; O'!$F:$F,_xlfn.XLOOKUP(Base_CRM[[#This Row],[Assessor]],[1]DePara!$A:$A,[1]DePara!$D:$D,"Outros",0,1),0,1)</f>
        <v>Raphael Farias</v>
      </c>
      <c r="R156" s="11" t="str">
        <f>_xlfn.XLOOKUP(Base_CRM[[#This Row],[Cód do Cliente]],'[1]F &amp; O'!$A:$A,'[1]F &amp; O'!D:D,"Sem Finder",0,1)</f>
        <v>Sem Finder</v>
      </c>
      <c r="S156" s="11" t="str">
        <f>_xlfn.XLOOKUP(Base_CRM[[#This Row],[Cód do Cliente]],'[1]F &amp; O'!$A:$A,'[1]F &amp; O'!E:E,"Sem Canal",0,1)</f>
        <v>Sem Canal</v>
      </c>
      <c r="T156" s="11" t="str">
        <f t="shared" si="2"/>
        <v>Cliente XP</v>
      </c>
    </row>
    <row r="157" spans="1:20" x14ac:dyDescent="0.3">
      <c r="A157">
        <v>17654146</v>
      </c>
      <c r="B157" s="8" t="s">
        <v>424</v>
      </c>
      <c r="C157" s="9" t="s">
        <v>34</v>
      </c>
      <c r="D157" s="8">
        <v>1057157.81</v>
      </c>
      <c r="E157">
        <v>1077000</v>
      </c>
      <c r="F157" t="s">
        <v>29</v>
      </c>
      <c r="G157" t="s">
        <v>67</v>
      </c>
      <c r="H157" s="10">
        <v>33219</v>
      </c>
      <c r="I157" s="10" t="s">
        <v>84</v>
      </c>
      <c r="K157" t="s">
        <v>42</v>
      </c>
      <c r="L157" t="s">
        <v>425</v>
      </c>
      <c r="N157" s="11" t="str">
        <f>Base_CRM[[#This Row],[Cidade]]&amp;"/"&amp;Base_CRM[[#This Row],[Estado]]</f>
        <v>NITEROI/</v>
      </c>
      <c r="O157" s="12">
        <f>IFERROR(IF(Base_CRM[[#This Row],[PL Tailor]]&gt;Base_CRM[[#This Row],[PL Declarado]],1,Base_CRM[[#This Row],[PL Tailor]]/Base_CRM[[#This Row],[PL Declarado]]),0)</f>
        <v>0.98157642525533895</v>
      </c>
      <c r="P157" s="11" t="str">
        <f>IF(Base_CRM[[#This Row],[Estado Civil]]="","PESSOA JURÍDICA","PESSOA FÍSICA")</f>
        <v>PESSOA FÍSICA</v>
      </c>
      <c r="Q157" t="str">
        <f>_xlfn.XLOOKUP(Base_CRM[[#This Row],[Cód do Cliente]],'[1]F &amp; O'!$A:$A,'[1]F &amp; O'!$F:$F,_xlfn.XLOOKUP(Base_CRM[[#This Row],[Assessor]],[1]DePara!$A:$A,[1]DePara!$D:$D,"Outros",0,1),0,1)</f>
        <v>Adonias Noronha</v>
      </c>
      <c r="R157" s="11" t="str">
        <f>_xlfn.XLOOKUP(Base_CRM[[#This Row],[Cód do Cliente]],'[1]F &amp; O'!$A:$A,'[1]F &amp; O'!D:D,"Sem Finder",0,1)</f>
        <v>Sem Finder</v>
      </c>
      <c r="S157" s="11" t="str">
        <f>_xlfn.XLOOKUP(Base_CRM[[#This Row],[Cód do Cliente]],'[1]F &amp; O'!$A:$A,'[1]F &amp; O'!E:E,"Sem Canal",0,1)</f>
        <v>Sem Canal</v>
      </c>
      <c r="T157" s="11" t="str">
        <f t="shared" si="2"/>
        <v>Cliente XP</v>
      </c>
    </row>
    <row r="158" spans="1:20" x14ac:dyDescent="0.3">
      <c r="A158">
        <v>17668616</v>
      </c>
      <c r="B158" s="8" t="s">
        <v>426</v>
      </c>
      <c r="C158" s="9" t="s">
        <v>74</v>
      </c>
      <c r="D158" s="8">
        <v>0</v>
      </c>
      <c r="E158">
        <v>1000000</v>
      </c>
      <c r="F158" t="s">
        <v>22</v>
      </c>
      <c r="G158" t="s">
        <v>45</v>
      </c>
      <c r="H158" s="10">
        <v>33719</v>
      </c>
      <c r="I158" s="10" t="s">
        <v>349</v>
      </c>
      <c r="K158" t="s">
        <v>104</v>
      </c>
      <c r="L158" t="s">
        <v>427</v>
      </c>
      <c r="N158" s="11" t="str">
        <f>Base_CRM[[#This Row],[Cidade]]&amp;"/"&amp;Base_CRM[[#This Row],[Estado]]</f>
        <v>São Paulo/</v>
      </c>
      <c r="O158" s="12">
        <f>IFERROR(IF(Base_CRM[[#This Row],[PL Tailor]]&gt;Base_CRM[[#This Row],[PL Declarado]],1,Base_CRM[[#This Row],[PL Tailor]]/Base_CRM[[#This Row],[PL Declarado]]),0)</f>
        <v>0</v>
      </c>
      <c r="P158" s="11" t="str">
        <f>IF(Base_CRM[[#This Row],[Estado Civil]]="","PESSOA JURÍDICA","PESSOA FÍSICA")</f>
        <v>PESSOA FÍSICA</v>
      </c>
      <c r="Q158" t="str">
        <f>_xlfn.XLOOKUP(Base_CRM[[#This Row],[Cód do Cliente]],'[1]F &amp; O'!$A:$A,'[1]F &amp; O'!$F:$F,_xlfn.XLOOKUP(Base_CRM[[#This Row],[Assessor]],[1]DePara!$A:$A,[1]DePara!$D:$D,"Outros",0,1),0,1)</f>
        <v>Thayane Freitas</v>
      </c>
      <c r="R158" s="11" t="str">
        <f>_xlfn.XLOOKUP(Base_CRM[[#This Row],[Cód do Cliente]],'[1]F &amp; O'!$A:$A,'[1]F &amp; O'!D:D,"Sem Finder",0,1)</f>
        <v>Sem Finder</v>
      </c>
      <c r="S158" s="11" t="str">
        <f>_xlfn.XLOOKUP(Base_CRM[[#This Row],[Cód do Cliente]],'[1]F &amp; O'!$A:$A,'[1]F &amp; O'!E:E,"Sem Canal",0,1)</f>
        <v>Sem Canal</v>
      </c>
      <c r="T158" s="11" t="str">
        <f t="shared" si="2"/>
        <v>Cliente XP</v>
      </c>
    </row>
    <row r="159" spans="1:20" x14ac:dyDescent="0.3">
      <c r="A159">
        <v>17677087</v>
      </c>
      <c r="B159" s="8" t="s">
        <v>428</v>
      </c>
      <c r="C159" s="9" t="s">
        <v>48</v>
      </c>
      <c r="D159" s="8">
        <v>3375397.46</v>
      </c>
      <c r="E159">
        <v>6000000</v>
      </c>
      <c r="F159" t="s">
        <v>22</v>
      </c>
      <c r="G159" t="s">
        <v>141</v>
      </c>
      <c r="H159" s="10">
        <v>29739</v>
      </c>
      <c r="I159" s="10" t="s">
        <v>429</v>
      </c>
      <c r="K159" t="s">
        <v>42</v>
      </c>
      <c r="L159" t="s">
        <v>430</v>
      </c>
      <c r="M159" t="s">
        <v>64</v>
      </c>
      <c r="N159" s="11" t="str">
        <f>Base_CRM[[#This Row],[Cidade]]&amp;"/"&amp;Base_CRM[[#This Row],[Estado]]</f>
        <v>VOTORANTIM/</v>
      </c>
      <c r="O159" s="12">
        <f>IFERROR(IF(Base_CRM[[#This Row],[PL Tailor]]&gt;Base_CRM[[#This Row],[PL Declarado]],1,Base_CRM[[#This Row],[PL Tailor]]/Base_CRM[[#This Row],[PL Declarado]]),0)</f>
        <v>0.56256624333333338</v>
      </c>
      <c r="P159" s="11" t="str">
        <f>IF(Base_CRM[[#This Row],[Estado Civil]]="","PESSOA JURÍDICA","PESSOA FÍSICA")</f>
        <v>PESSOA FÍSICA</v>
      </c>
      <c r="Q159" t="str">
        <f>_xlfn.XLOOKUP(Base_CRM[[#This Row],[Cód do Cliente]],'[1]F &amp; O'!$A:$A,'[1]F &amp; O'!$F:$F,_xlfn.XLOOKUP(Base_CRM[[#This Row],[Assessor]],[1]DePara!$A:$A,[1]DePara!$D:$D,"Outros",0,1),0,1)</f>
        <v>Raphael Farias</v>
      </c>
      <c r="R159" s="11" t="str">
        <f>_xlfn.XLOOKUP(Base_CRM[[#This Row],[Cód do Cliente]],'[1]F &amp; O'!$A:$A,'[1]F &amp; O'!D:D,"Sem Finder",0,1)</f>
        <v>Sem Finder</v>
      </c>
      <c r="S159" s="11" t="str">
        <f>_xlfn.XLOOKUP(Base_CRM[[#This Row],[Cód do Cliente]],'[1]F &amp; O'!$A:$A,'[1]F &amp; O'!E:E,"Sem Canal",0,1)</f>
        <v>Sem Canal</v>
      </c>
      <c r="T159" s="11" t="str">
        <f t="shared" si="2"/>
        <v>Cliente XP</v>
      </c>
    </row>
    <row r="160" spans="1:20" x14ac:dyDescent="0.3">
      <c r="A160">
        <v>17679776</v>
      </c>
      <c r="B160" s="8" t="s">
        <v>431</v>
      </c>
      <c r="C160" s="9" t="s">
        <v>48</v>
      </c>
      <c r="D160" s="8">
        <v>0</v>
      </c>
      <c r="E160">
        <v>0</v>
      </c>
      <c r="F160" t="s">
        <v>29</v>
      </c>
      <c r="G160" t="s">
        <v>71</v>
      </c>
      <c r="H160" s="10">
        <v>31657</v>
      </c>
      <c r="I160" s="10" t="s">
        <v>24</v>
      </c>
      <c r="K160" t="s">
        <v>25</v>
      </c>
      <c r="L160" t="s">
        <v>432</v>
      </c>
      <c r="N160" s="11" t="str">
        <f>Base_CRM[[#This Row],[Cidade]]&amp;"/"&amp;Base_CRM[[#This Row],[Estado]]</f>
        <v>RIO DE JANEIRO/</v>
      </c>
      <c r="O160" s="12">
        <f>IFERROR(IF(Base_CRM[[#This Row],[PL Tailor]]&gt;Base_CRM[[#This Row],[PL Declarado]],1,Base_CRM[[#This Row],[PL Tailor]]/Base_CRM[[#This Row],[PL Declarado]]),0)</f>
        <v>0</v>
      </c>
      <c r="P160" s="11" t="str">
        <f>IF(Base_CRM[[#This Row],[Estado Civil]]="","PESSOA JURÍDICA","PESSOA FÍSICA")</f>
        <v>PESSOA FÍSICA</v>
      </c>
      <c r="Q160" t="str">
        <f>_xlfn.XLOOKUP(Base_CRM[[#This Row],[Cód do Cliente]],'[1]F &amp; O'!$A:$A,'[1]F &amp; O'!$F:$F,_xlfn.XLOOKUP(Base_CRM[[#This Row],[Assessor]],[1]DePara!$A:$A,[1]DePara!$D:$D,"Outros",0,1),0,1)</f>
        <v>Raphael Farias</v>
      </c>
      <c r="R160" s="11" t="str">
        <f>_xlfn.XLOOKUP(Base_CRM[[#This Row],[Cód do Cliente]],'[1]F &amp; O'!$A:$A,'[1]F &amp; O'!D:D,"Sem Finder",0,1)</f>
        <v>Sem Finder</v>
      </c>
      <c r="S160" s="11" t="str">
        <f>_xlfn.XLOOKUP(Base_CRM[[#This Row],[Cód do Cliente]],'[1]F &amp; O'!$A:$A,'[1]F &amp; O'!E:E,"Sem Canal",0,1)</f>
        <v>Sem Canal</v>
      </c>
      <c r="T160" s="11" t="str">
        <f t="shared" si="2"/>
        <v>Cliente XP</v>
      </c>
    </row>
    <row r="161" spans="1:20" x14ac:dyDescent="0.3">
      <c r="A161">
        <v>17685051</v>
      </c>
      <c r="B161" s="8" t="s">
        <v>433</v>
      </c>
      <c r="C161" s="9" t="s">
        <v>74</v>
      </c>
      <c r="D161" s="8">
        <v>63475.43</v>
      </c>
      <c r="E161">
        <v>0</v>
      </c>
      <c r="F161" t="s">
        <v>92</v>
      </c>
      <c r="G161" t="s">
        <v>45</v>
      </c>
      <c r="H161" s="10">
        <v>37672</v>
      </c>
      <c r="I161" s="10" t="s">
        <v>24</v>
      </c>
      <c r="K161" t="s">
        <v>25</v>
      </c>
      <c r="L161" t="s">
        <v>434</v>
      </c>
      <c r="N161" s="11" t="str">
        <f>Base_CRM[[#This Row],[Cidade]]&amp;"/"&amp;Base_CRM[[#This Row],[Estado]]</f>
        <v>RIO DE JANEIRO/</v>
      </c>
      <c r="O161" s="12">
        <f>IFERROR(IF(Base_CRM[[#This Row],[PL Tailor]]&gt;Base_CRM[[#This Row],[PL Declarado]],1,Base_CRM[[#This Row],[PL Tailor]]/Base_CRM[[#This Row],[PL Declarado]]),0)</f>
        <v>1</v>
      </c>
      <c r="P161" s="11" t="str">
        <f>IF(Base_CRM[[#This Row],[Estado Civil]]="","PESSOA JURÍDICA","PESSOA FÍSICA")</f>
        <v>PESSOA FÍSICA</v>
      </c>
      <c r="Q161" t="str">
        <f>_xlfn.XLOOKUP(Base_CRM[[#This Row],[Cód do Cliente]],'[1]F &amp; O'!$A:$A,'[1]F &amp; O'!$F:$F,_xlfn.XLOOKUP(Base_CRM[[#This Row],[Assessor]],[1]DePara!$A:$A,[1]DePara!$D:$D,"Outros",0,1),0,1)</f>
        <v>Thayane Freitas</v>
      </c>
      <c r="R161" s="11" t="str">
        <f>_xlfn.XLOOKUP(Base_CRM[[#This Row],[Cód do Cliente]],'[1]F &amp; O'!$A:$A,'[1]F &amp; O'!D:D,"Sem Finder",0,1)</f>
        <v>Sem Finder</v>
      </c>
      <c r="S161" s="11" t="str">
        <f>_xlfn.XLOOKUP(Base_CRM[[#This Row],[Cód do Cliente]],'[1]F &amp; O'!$A:$A,'[1]F &amp; O'!E:E,"Sem Canal",0,1)</f>
        <v>Sem Canal</v>
      </c>
      <c r="T161" s="11" t="str">
        <f t="shared" si="2"/>
        <v>Cliente XP</v>
      </c>
    </row>
    <row r="162" spans="1:20" x14ac:dyDescent="0.3">
      <c r="A162">
        <v>17689981</v>
      </c>
      <c r="B162" s="8" t="s">
        <v>95</v>
      </c>
      <c r="C162" s="9" t="s">
        <v>34</v>
      </c>
      <c r="D162" s="8">
        <v>37026.620000000003</v>
      </c>
      <c r="E162">
        <v>250000</v>
      </c>
      <c r="F162" t="s">
        <v>29</v>
      </c>
      <c r="G162" t="s">
        <v>96</v>
      </c>
      <c r="H162" s="10">
        <v>32128</v>
      </c>
      <c r="I162" s="10" t="s">
        <v>24</v>
      </c>
      <c r="K162" t="s">
        <v>25</v>
      </c>
      <c r="L162" t="s">
        <v>97</v>
      </c>
      <c r="N162" s="11" t="str">
        <f>Base_CRM[[#This Row],[Cidade]]&amp;"/"&amp;Base_CRM[[#This Row],[Estado]]</f>
        <v>RIO DE JANEIRO/</v>
      </c>
      <c r="O162" s="12">
        <f>IFERROR(IF(Base_CRM[[#This Row],[PL Tailor]]&gt;Base_CRM[[#This Row],[PL Declarado]],1,Base_CRM[[#This Row],[PL Tailor]]/Base_CRM[[#This Row],[PL Declarado]]),0)</f>
        <v>0.14810648000000001</v>
      </c>
      <c r="P162" s="11" t="str">
        <f>IF(Base_CRM[[#This Row],[Estado Civil]]="","PESSOA JURÍDICA","PESSOA FÍSICA")</f>
        <v>PESSOA FÍSICA</v>
      </c>
      <c r="Q162" t="str">
        <f>_xlfn.XLOOKUP(Base_CRM[[#This Row],[Cód do Cliente]],'[1]F &amp; O'!$A:$A,'[1]F &amp; O'!$F:$F,_xlfn.XLOOKUP(Base_CRM[[#This Row],[Assessor]],[1]DePara!$A:$A,[1]DePara!$D:$D,"Outros",0,1),0,1)</f>
        <v>Adonias Noronha</v>
      </c>
      <c r="R162" s="11" t="str">
        <f>_xlfn.XLOOKUP(Base_CRM[[#This Row],[Cód do Cliente]],'[1]F &amp; O'!$A:$A,'[1]F &amp; O'!D:D,"Sem Finder",0,1)</f>
        <v>Sem Finder</v>
      </c>
      <c r="S162" s="11" t="str">
        <f>_xlfn.XLOOKUP(Base_CRM[[#This Row],[Cód do Cliente]],'[1]F &amp; O'!$A:$A,'[1]F &amp; O'!E:E,"Sem Canal",0,1)</f>
        <v>Sem Canal</v>
      </c>
      <c r="T162" s="11" t="str">
        <f t="shared" si="2"/>
        <v>Cliente XP</v>
      </c>
    </row>
    <row r="163" spans="1:20" x14ac:dyDescent="0.3">
      <c r="A163">
        <v>17701015</v>
      </c>
      <c r="B163" s="8" t="s">
        <v>435</v>
      </c>
      <c r="C163" s="9" t="s">
        <v>34</v>
      </c>
      <c r="D163" s="8">
        <v>93194.04</v>
      </c>
      <c r="E163">
        <v>100000</v>
      </c>
      <c r="F163" t="s">
        <v>22</v>
      </c>
      <c r="G163" t="s">
        <v>96</v>
      </c>
      <c r="H163" s="10">
        <v>33316</v>
      </c>
      <c r="I163" s="10" t="s">
        <v>31</v>
      </c>
      <c r="K163" t="s">
        <v>25</v>
      </c>
      <c r="L163" t="s">
        <v>436</v>
      </c>
      <c r="N163" s="11" t="str">
        <f>Base_CRM[[#This Row],[Cidade]]&amp;"/"&amp;Base_CRM[[#This Row],[Estado]]</f>
        <v>SAO PAULO/</v>
      </c>
      <c r="O163" s="12">
        <f>IFERROR(IF(Base_CRM[[#This Row],[PL Tailor]]&gt;Base_CRM[[#This Row],[PL Declarado]],1,Base_CRM[[#This Row],[PL Tailor]]/Base_CRM[[#This Row],[PL Declarado]]),0)</f>
        <v>0.93194039999999989</v>
      </c>
      <c r="P163" s="11" t="str">
        <f>IF(Base_CRM[[#This Row],[Estado Civil]]="","PESSOA JURÍDICA","PESSOA FÍSICA")</f>
        <v>PESSOA FÍSICA</v>
      </c>
      <c r="Q163" t="str">
        <f>_xlfn.XLOOKUP(Base_CRM[[#This Row],[Cód do Cliente]],'[1]F &amp; O'!$A:$A,'[1]F &amp; O'!$F:$F,_xlfn.XLOOKUP(Base_CRM[[#This Row],[Assessor]],[1]DePara!$A:$A,[1]DePara!$D:$D,"Outros",0,1),0,1)</f>
        <v>Adonias Noronha</v>
      </c>
      <c r="R163" s="11" t="str">
        <f>_xlfn.XLOOKUP(Base_CRM[[#This Row],[Cód do Cliente]],'[1]F &amp; O'!$A:$A,'[1]F &amp; O'!D:D,"Sem Finder",0,1)</f>
        <v>José De Marchi</v>
      </c>
      <c r="S163" s="11" t="str">
        <f>_xlfn.XLOOKUP(Base_CRM[[#This Row],[Cód do Cliente]],'[1]F &amp; O'!$A:$A,'[1]F &amp; O'!E:E,"Sem Canal",0,1)</f>
        <v>Sem Canal</v>
      </c>
      <c r="T163" s="11" t="str">
        <f t="shared" si="2"/>
        <v>Cliente XP</v>
      </c>
    </row>
    <row r="164" spans="1:20" x14ac:dyDescent="0.3">
      <c r="A164">
        <v>17737866</v>
      </c>
      <c r="B164" s="8" t="s">
        <v>437</v>
      </c>
      <c r="C164" s="9" t="s">
        <v>48</v>
      </c>
      <c r="D164" s="8">
        <v>0</v>
      </c>
      <c r="E164">
        <v>500000</v>
      </c>
      <c r="G164" t="s">
        <v>67</v>
      </c>
      <c r="H164" s="10">
        <v>31413</v>
      </c>
      <c r="I164" s="10" t="s">
        <v>438</v>
      </c>
      <c r="K164" t="s">
        <v>104</v>
      </c>
      <c r="L164" t="s">
        <v>439</v>
      </c>
      <c r="N164" s="11" t="str">
        <f>Base_CRM[[#This Row],[Cidade]]&amp;"/"&amp;Base_CRM[[#This Row],[Estado]]</f>
        <v>ITAJAI/</v>
      </c>
      <c r="O164" s="12">
        <f>IFERROR(IF(Base_CRM[[#This Row],[PL Tailor]]&gt;Base_CRM[[#This Row],[PL Declarado]],1,Base_CRM[[#This Row],[PL Tailor]]/Base_CRM[[#This Row],[PL Declarado]]),0)</f>
        <v>0</v>
      </c>
      <c r="P164" s="11" t="str">
        <f>IF(Base_CRM[[#This Row],[Estado Civil]]="","PESSOA JURÍDICA","PESSOA FÍSICA")</f>
        <v>PESSOA FÍSICA</v>
      </c>
      <c r="Q164" t="str">
        <f>_xlfn.XLOOKUP(Base_CRM[[#This Row],[Cód do Cliente]],'[1]F &amp; O'!$A:$A,'[1]F &amp; O'!$F:$F,_xlfn.XLOOKUP(Base_CRM[[#This Row],[Assessor]],[1]DePara!$A:$A,[1]DePara!$D:$D,"Outros",0,1),0,1)</f>
        <v>Raphael Farias</v>
      </c>
      <c r="R164" s="11" t="str">
        <f>_xlfn.XLOOKUP(Base_CRM[[#This Row],[Cód do Cliente]],'[1]F &amp; O'!$A:$A,'[1]F &amp; O'!D:D,"Sem Finder",0,1)</f>
        <v>Sem Finder</v>
      </c>
      <c r="S164" s="11" t="str">
        <f>_xlfn.XLOOKUP(Base_CRM[[#This Row],[Cód do Cliente]],'[1]F &amp; O'!$A:$A,'[1]F &amp; O'!E:E,"Sem Canal",0,1)</f>
        <v>Sem Canal</v>
      </c>
      <c r="T164" s="11" t="str">
        <f t="shared" si="2"/>
        <v>Cliente XP</v>
      </c>
    </row>
    <row r="165" spans="1:20" x14ac:dyDescent="0.3">
      <c r="A165">
        <v>17830677</v>
      </c>
      <c r="B165" s="8" t="s">
        <v>440</v>
      </c>
      <c r="C165" s="9" t="s">
        <v>48</v>
      </c>
      <c r="D165" s="8">
        <v>128626.17</v>
      </c>
      <c r="E165">
        <v>2000000</v>
      </c>
      <c r="F165" t="s">
        <v>22</v>
      </c>
      <c r="G165" t="s">
        <v>67</v>
      </c>
      <c r="H165" s="10">
        <v>37866</v>
      </c>
      <c r="I165" s="10" t="s">
        <v>338</v>
      </c>
      <c r="K165" t="s">
        <v>25</v>
      </c>
      <c r="L165" t="s">
        <v>441</v>
      </c>
      <c r="N165" s="11" t="str">
        <f>Base_CRM[[#This Row],[Cidade]]&amp;"/"&amp;Base_CRM[[#This Row],[Estado]]</f>
        <v>GURUPI/</v>
      </c>
      <c r="O165" s="12">
        <f>IFERROR(IF(Base_CRM[[#This Row],[PL Tailor]]&gt;Base_CRM[[#This Row],[PL Declarado]],1,Base_CRM[[#This Row],[PL Tailor]]/Base_CRM[[#This Row],[PL Declarado]]),0)</f>
        <v>6.4313085000000006E-2</v>
      </c>
      <c r="P165" s="11" t="str">
        <f>IF(Base_CRM[[#This Row],[Estado Civil]]="","PESSOA JURÍDICA","PESSOA FÍSICA")</f>
        <v>PESSOA FÍSICA</v>
      </c>
      <c r="Q165" t="str">
        <f>_xlfn.XLOOKUP(Base_CRM[[#This Row],[Cód do Cliente]],'[1]F &amp; O'!$A:$A,'[1]F &amp; O'!$F:$F,_xlfn.XLOOKUP(Base_CRM[[#This Row],[Assessor]],[1]DePara!$A:$A,[1]DePara!$D:$D,"Outros",0,1),0,1)</f>
        <v>Raphael Farias</v>
      </c>
      <c r="R165" s="11" t="str">
        <f>_xlfn.XLOOKUP(Base_CRM[[#This Row],[Cód do Cliente]],'[1]F &amp; O'!$A:$A,'[1]F &amp; O'!D:D,"Sem Finder",0,1)</f>
        <v>José De Marchi</v>
      </c>
      <c r="S165" s="11" t="str">
        <f>_xlfn.XLOOKUP(Base_CRM[[#This Row],[Cód do Cliente]],'[1]F &amp; O'!$A:$A,'[1]F &amp; O'!E:E,"Sem Canal",0,1)</f>
        <v>Sem Canal</v>
      </c>
      <c r="T165" s="11" t="str">
        <f t="shared" si="2"/>
        <v>Cliente XP</v>
      </c>
    </row>
    <row r="166" spans="1:20" x14ac:dyDescent="0.3">
      <c r="A166">
        <v>17858431</v>
      </c>
      <c r="B166" s="8" t="s">
        <v>442</v>
      </c>
      <c r="C166" s="9" t="s">
        <v>48</v>
      </c>
      <c r="D166" s="8">
        <v>0</v>
      </c>
      <c r="E166">
        <v>1000000</v>
      </c>
      <c r="F166" t="s">
        <v>29</v>
      </c>
      <c r="G166" t="s">
        <v>35</v>
      </c>
      <c r="H166" s="10">
        <v>31561</v>
      </c>
      <c r="I166" s="10" t="s">
        <v>24</v>
      </c>
      <c r="K166" t="s">
        <v>42</v>
      </c>
      <c r="L166" t="s">
        <v>443</v>
      </c>
      <c r="N166" s="11" t="str">
        <f>Base_CRM[[#This Row],[Cidade]]&amp;"/"&amp;Base_CRM[[#This Row],[Estado]]</f>
        <v>RIO DE JANEIRO/</v>
      </c>
      <c r="O166" s="12">
        <f>IFERROR(IF(Base_CRM[[#This Row],[PL Tailor]]&gt;Base_CRM[[#This Row],[PL Declarado]],1,Base_CRM[[#This Row],[PL Tailor]]/Base_CRM[[#This Row],[PL Declarado]]),0)</f>
        <v>0</v>
      </c>
      <c r="P166" s="11" t="str">
        <f>IF(Base_CRM[[#This Row],[Estado Civil]]="","PESSOA JURÍDICA","PESSOA FÍSICA")</f>
        <v>PESSOA FÍSICA</v>
      </c>
      <c r="Q166" t="str">
        <f>_xlfn.XLOOKUP(Base_CRM[[#This Row],[Cód do Cliente]],'[1]F &amp; O'!$A:$A,'[1]F &amp; O'!$F:$F,_xlfn.XLOOKUP(Base_CRM[[#This Row],[Assessor]],[1]DePara!$A:$A,[1]DePara!$D:$D,"Outros",0,1),0,1)</f>
        <v>Raphael Farias</v>
      </c>
      <c r="R166" s="11" t="str">
        <f>_xlfn.XLOOKUP(Base_CRM[[#This Row],[Cód do Cliente]],'[1]F &amp; O'!$A:$A,'[1]F &amp; O'!D:D,"Sem Finder",0,1)</f>
        <v>Sem Finder</v>
      </c>
      <c r="S166" s="11" t="str">
        <f>_xlfn.XLOOKUP(Base_CRM[[#This Row],[Cód do Cliente]],'[1]F &amp; O'!$A:$A,'[1]F &amp; O'!E:E,"Sem Canal",0,1)</f>
        <v>Sem Canal</v>
      </c>
      <c r="T166" s="11" t="str">
        <f t="shared" si="2"/>
        <v>Cliente XP</v>
      </c>
    </row>
    <row r="167" spans="1:20" x14ac:dyDescent="0.3">
      <c r="A167">
        <v>17877151</v>
      </c>
      <c r="B167" s="8" t="s">
        <v>444</v>
      </c>
      <c r="C167" s="9" t="s">
        <v>39</v>
      </c>
      <c r="D167" s="8">
        <v>0</v>
      </c>
      <c r="E167">
        <v>1</v>
      </c>
      <c r="F167" t="s">
        <v>22</v>
      </c>
      <c r="G167" t="s">
        <v>45</v>
      </c>
      <c r="H167" s="10">
        <v>44906</v>
      </c>
      <c r="I167" s="10" t="s">
        <v>285</v>
      </c>
      <c r="K167" t="s">
        <v>25</v>
      </c>
      <c r="L167" t="s">
        <v>445</v>
      </c>
      <c r="N167" s="11" t="str">
        <f>Base_CRM[[#This Row],[Cidade]]&amp;"/"&amp;Base_CRM[[#This Row],[Estado]]</f>
        <v>SANTANA DE PARNAIBA/</v>
      </c>
      <c r="O167" s="12">
        <f>IFERROR(IF(Base_CRM[[#This Row],[PL Tailor]]&gt;Base_CRM[[#This Row],[PL Declarado]],1,Base_CRM[[#This Row],[PL Tailor]]/Base_CRM[[#This Row],[PL Declarado]]),0)</f>
        <v>0</v>
      </c>
      <c r="P167" s="11" t="str">
        <f>IF(Base_CRM[[#This Row],[Estado Civil]]="","PESSOA JURÍDICA","PESSOA FÍSICA")</f>
        <v>PESSOA FÍSICA</v>
      </c>
      <c r="Q167" t="str">
        <f>_xlfn.XLOOKUP(Base_CRM[[#This Row],[Cód do Cliente]],'[1]F &amp; O'!$A:$A,'[1]F &amp; O'!$F:$F,_xlfn.XLOOKUP(Base_CRM[[#This Row],[Assessor]],[1]DePara!$A:$A,[1]DePara!$D:$D,"Outros",0,1),0,1)</f>
        <v>Gestora</v>
      </c>
      <c r="R167" s="11" t="str">
        <f>_xlfn.XLOOKUP(Base_CRM[[#This Row],[Cód do Cliente]],'[1]F &amp; O'!$A:$A,'[1]F &amp; O'!D:D,"Sem Finder",0,1)</f>
        <v>Sem Finder</v>
      </c>
      <c r="S167" s="11" t="str">
        <f>_xlfn.XLOOKUP(Base_CRM[[#This Row],[Cód do Cliente]],'[1]F &amp; O'!$A:$A,'[1]F &amp; O'!E:E,"Sem Canal",0,1)</f>
        <v>Gestora</v>
      </c>
      <c r="T167" s="11" t="str">
        <f t="shared" si="2"/>
        <v>Cliente XP</v>
      </c>
    </row>
    <row r="168" spans="1:20" x14ac:dyDescent="0.3">
      <c r="A168">
        <v>17922591</v>
      </c>
      <c r="B168" s="8" t="s">
        <v>446</v>
      </c>
      <c r="C168" s="9" t="s">
        <v>48</v>
      </c>
      <c r="D168" s="8">
        <v>0</v>
      </c>
      <c r="E168">
        <v>250000</v>
      </c>
      <c r="F168" t="s">
        <v>22</v>
      </c>
      <c r="G168" t="s">
        <v>67</v>
      </c>
      <c r="H168" s="10">
        <v>33812</v>
      </c>
      <c r="I168" s="10" t="s">
        <v>24</v>
      </c>
      <c r="K168" t="s">
        <v>25</v>
      </c>
      <c r="L168" t="s">
        <v>447</v>
      </c>
      <c r="N168" s="11" t="str">
        <f>Base_CRM[[#This Row],[Cidade]]&amp;"/"&amp;Base_CRM[[#This Row],[Estado]]</f>
        <v>RIO DE JANEIRO/</v>
      </c>
      <c r="O168" s="12">
        <f>IFERROR(IF(Base_CRM[[#This Row],[PL Tailor]]&gt;Base_CRM[[#This Row],[PL Declarado]],1,Base_CRM[[#This Row],[PL Tailor]]/Base_CRM[[#This Row],[PL Declarado]]),0)</f>
        <v>0</v>
      </c>
      <c r="P168" s="11" t="str">
        <f>IF(Base_CRM[[#This Row],[Estado Civil]]="","PESSOA JURÍDICA","PESSOA FÍSICA")</f>
        <v>PESSOA FÍSICA</v>
      </c>
      <c r="Q168" t="str">
        <f>_xlfn.XLOOKUP(Base_CRM[[#This Row],[Cód do Cliente]],'[1]F &amp; O'!$A:$A,'[1]F &amp; O'!$F:$F,_xlfn.XLOOKUP(Base_CRM[[#This Row],[Assessor]],[1]DePara!$A:$A,[1]DePara!$D:$D,"Outros",0,1),0,1)</f>
        <v>Raphael Farias</v>
      </c>
      <c r="R168" s="11" t="str">
        <f>_xlfn.XLOOKUP(Base_CRM[[#This Row],[Cód do Cliente]],'[1]F &amp; O'!$A:$A,'[1]F &amp; O'!D:D,"Sem Finder",0,1)</f>
        <v>Sem Finder</v>
      </c>
      <c r="S168" s="11" t="str">
        <f>_xlfn.XLOOKUP(Base_CRM[[#This Row],[Cód do Cliente]],'[1]F &amp; O'!$A:$A,'[1]F &amp; O'!E:E,"Sem Canal",0,1)</f>
        <v>Sem Canal</v>
      </c>
      <c r="T168" s="11" t="str">
        <f t="shared" si="2"/>
        <v>Cliente XP</v>
      </c>
    </row>
    <row r="169" spans="1:20" x14ac:dyDescent="0.3">
      <c r="A169">
        <v>17930083</v>
      </c>
      <c r="B169" s="8" t="s">
        <v>448</v>
      </c>
      <c r="C169" s="9" t="s">
        <v>39</v>
      </c>
      <c r="D169" s="8">
        <v>41728.239999999998</v>
      </c>
      <c r="E169">
        <v>1250000</v>
      </c>
      <c r="F169" t="s">
        <v>22</v>
      </c>
      <c r="G169" t="s">
        <v>23</v>
      </c>
      <c r="H169" s="10">
        <v>32490</v>
      </c>
      <c r="I169" s="10" t="s">
        <v>115</v>
      </c>
      <c r="K169" t="s">
        <v>42</v>
      </c>
      <c r="L169" t="s">
        <v>449</v>
      </c>
      <c r="N169" s="11" t="str">
        <f>Base_CRM[[#This Row],[Cidade]]&amp;"/"&amp;Base_CRM[[#This Row],[Estado]]</f>
        <v>BARUERI/</v>
      </c>
      <c r="O169" s="12">
        <f>IFERROR(IF(Base_CRM[[#This Row],[PL Tailor]]&gt;Base_CRM[[#This Row],[PL Declarado]],1,Base_CRM[[#This Row],[PL Tailor]]/Base_CRM[[#This Row],[PL Declarado]]),0)</f>
        <v>3.3382591999999996E-2</v>
      </c>
      <c r="P169" s="11" t="str">
        <f>IF(Base_CRM[[#This Row],[Estado Civil]]="","PESSOA JURÍDICA","PESSOA FÍSICA")</f>
        <v>PESSOA FÍSICA</v>
      </c>
      <c r="Q169" t="str">
        <f>_xlfn.XLOOKUP(Base_CRM[[#This Row],[Cód do Cliente]],'[1]F &amp; O'!$A:$A,'[1]F &amp; O'!$F:$F,_xlfn.XLOOKUP(Base_CRM[[#This Row],[Assessor]],[1]DePara!$A:$A,[1]DePara!$D:$D,"Outros",0,1),0,1)</f>
        <v>Gestora</v>
      </c>
      <c r="R169" s="11" t="str">
        <f>_xlfn.XLOOKUP(Base_CRM[[#This Row],[Cód do Cliente]],'[1]F &amp; O'!$A:$A,'[1]F &amp; O'!D:D,"Sem Finder",0,1)</f>
        <v>Sem Finder</v>
      </c>
      <c r="S169" s="11" t="str">
        <f>_xlfn.XLOOKUP(Base_CRM[[#This Row],[Cód do Cliente]],'[1]F &amp; O'!$A:$A,'[1]F &amp; O'!E:E,"Sem Canal",0,1)</f>
        <v>Gestora</v>
      </c>
      <c r="T169" s="11" t="str">
        <f t="shared" si="2"/>
        <v>Cliente XP</v>
      </c>
    </row>
    <row r="170" spans="1:20" x14ac:dyDescent="0.3">
      <c r="A170">
        <v>17937727</v>
      </c>
      <c r="B170" s="8" t="s">
        <v>450</v>
      </c>
      <c r="C170" s="9" t="s">
        <v>48</v>
      </c>
      <c r="D170" s="8">
        <v>0</v>
      </c>
      <c r="E170">
        <v>10000000</v>
      </c>
      <c r="F170" t="s">
        <v>22</v>
      </c>
      <c r="G170" t="s">
        <v>67</v>
      </c>
      <c r="H170" s="10">
        <v>33215</v>
      </c>
      <c r="I170" s="10" t="s">
        <v>451</v>
      </c>
      <c r="K170" t="s">
        <v>42</v>
      </c>
      <c r="L170" t="s">
        <v>452</v>
      </c>
      <c r="N170" s="11" t="str">
        <f>Base_CRM[[#This Row],[Cidade]]&amp;"/"&amp;Base_CRM[[#This Row],[Estado]]</f>
        <v>JUIZ DE FORA/</v>
      </c>
      <c r="O170" s="12">
        <f>IFERROR(IF(Base_CRM[[#This Row],[PL Tailor]]&gt;Base_CRM[[#This Row],[PL Declarado]],1,Base_CRM[[#This Row],[PL Tailor]]/Base_CRM[[#This Row],[PL Declarado]]),0)</f>
        <v>0</v>
      </c>
      <c r="P170" s="11" t="str">
        <f>IF(Base_CRM[[#This Row],[Estado Civil]]="","PESSOA JURÍDICA","PESSOA FÍSICA")</f>
        <v>PESSOA FÍSICA</v>
      </c>
      <c r="Q170" t="str">
        <f>_xlfn.XLOOKUP(Base_CRM[[#This Row],[Cód do Cliente]],'[1]F &amp; O'!$A:$A,'[1]F &amp; O'!$F:$F,_xlfn.XLOOKUP(Base_CRM[[#This Row],[Assessor]],[1]DePara!$A:$A,[1]DePara!$D:$D,"Outros",0,1),0,1)</f>
        <v>Raphael Farias</v>
      </c>
      <c r="R170" s="11" t="str">
        <f>_xlfn.XLOOKUP(Base_CRM[[#This Row],[Cód do Cliente]],'[1]F &amp; O'!$A:$A,'[1]F &amp; O'!D:D,"Sem Finder",0,1)</f>
        <v>Sem Finder</v>
      </c>
      <c r="S170" s="11" t="str">
        <f>_xlfn.XLOOKUP(Base_CRM[[#This Row],[Cód do Cliente]],'[1]F &amp; O'!$A:$A,'[1]F &amp; O'!E:E,"Sem Canal",0,1)</f>
        <v>Sem Canal</v>
      </c>
      <c r="T170" s="11" t="str">
        <f t="shared" si="2"/>
        <v>Cliente XP</v>
      </c>
    </row>
    <row r="171" spans="1:20" x14ac:dyDescent="0.3">
      <c r="A171">
        <v>17943226</v>
      </c>
      <c r="B171" s="8" t="s">
        <v>453</v>
      </c>
      <c r="C171" s="9" t="s">
        <v>74</v>
      </c>
      <c r="D171" s="8">
        <v>0</v>
      </c>
      <c r="E171">
        <v>1</v>
      </c>
      <c r="G171" t="s">
        <v>45</v>
      </c>
      <c r="H171" s="10">
        <v>45731</v>
      </c>
      <c r="I171" s="10" t="s">
        <v>454</v>
      </c>
      <c r="K171" t="s">
        <v>25</v>
      </c>
      <c r="L171" t="s">
        <v>455</v>
      </c>
      <c r="N171" s="11" t="str">
        <f>Base_CRM[[#This Row],[Cidade]]&amp;"/"&amp;Base_CRM[[#This Row],[Estado]]</f>
        <v>RECIFE/</v>
      </c>
      <c r="O171" s="12">
        <f>IFERROR(IF(Base_CRM[[#This Row],[PL Tailor]]&gt;Base_CRM[[#This Row],[PL Declarado]],1,Base_CRM[[#This Row],[PL Tailor]]/Base_CRM[[#This Row],[PL Declarado]]),0)</f>
        <v>0</v>
      </c>
      <c r="P171" s="11" t="str">
        <f>IF(Base_CRM[[#This Row],[Estado Civil]]="","PESSOA JURÍDICA","PESSOA FÍSICA")</f>
        <v>PESSOA FÍSICA</v>
      </c>
      <c r="Q171" t="str">
        <f>_xlfn.XLOOKUP(Base_CRM[[#This Row],[Cód do Cliente]],'[1]F &amp; O'!$A:$A,'[1]F &amp; O'!$F:$F,_xlfn.XLOOKUP(Base_CRM[[#This Row],[Assessor]],[1]DePara!$A:$A,[1]DePara!$D:$D,"Outros",0,1),0,1)</f>
        <v>Thayane Freitas</v>
      </c>
      <c r="R171" s="11" t="str">
        <f>_xlfn.XLOOKUP(Base_CRM[[#This Row],[Cód do Cliente]],'[1]F &amp; O'!$A:$A,'[1]F &amp; O'!D:D,"Sem Finder",0,1)</f>
        <v>Sem Finder</v>
      </c>
      <c r="S171" s="11" t="str">
        <f>_xlfn.XLOOKUP(Base_CRM[[#This Row],[Cód do Cliente]],'[1]F &amp; O'!$A:$A,'[1]F &amp; O'!E:E,"Sem Canal",0,1)</f>
        <v>Sem Canal</v>
      </c>
      <c r="T171" s="11" t="str">
        <f t="shared" si="2"/>
        <v>Cliente XP</v>
      </c>
    </row>
    <row r="172" spans="1:20" x14ac:dyDescent="0.3">
      <c r="A172">
        <v>18045077</v>
      </c>
      <c r="B172" s="8" t="s">
        <v>456</v>
      </c>
      <c r="C172" s="9" t="s">
        <v>39</v>
      </c>
      <c r="D172" s="8">
        <v>0</v>
      </c>
      <c r="E172">
        <v>1</v>
      </c>
      <c r="F172" t="s">
        <v>22</v>
      </c>
      <c r="G172" t="s">
        <v>45</v>
      </c>
      <c r="H172" s="10">
        <v>45756</v>
      </c>
      <c r="I172" s="10" t="s">
        <v>31</v>
      </c>
      <c r="K172" t="s">
        <v>25</v>
      </c>
      <c r="L172" t="s">
        <v>457</v>
      </c>
      <c r="N172" s="11" t="str">
        <f>Base_CRM[[#This Row],[Cidade]]&amp;"/"&amp;Base_CRM[[#This Row],[Estado]]</f>
        <v>SAO PAULO/</v>
      </c>
      <c r="O172" s="12">
        <f>IFERROR(IF(Base_CRM[[#This Row],[PL Tailor]]&gt;Base_CRM[[#This Row],[PL Declarado]],1,Base_CRM[[#This Row],[PL Tailor]]/Base_CRM[[#This Row],[PL Declarado]]),0)</f>
        <v>0</v>
      </c>
      <c r="P172" s="11" t="str">
        <f>IF(Base_CRM[[#This Row],[Estado Civil]]="","PESSOA JURÍDICA","PESSOA FÍSICA")</f>
        <v>PESSOA FÍSICA</v>
      </c>
      <c r="Q172" t="str">
        <f>_xlfn.XLOOKUP(Base_CRM[[#This Row],[Cód do Cliente]],'[1]F &amp; O'!$A:$A,'[1]F &amp; O'!$F:$F,_xlfn.XLOOKUP(Base_CRM[[#This Row],[Assessor]],[1]DePara!$A:$A,[1]DePara!$D:$D,"Outros",0,1),0,1)</f>
        <v>Gestora</v>
      </c>
      <c r="R172" s="11" t="str">
        <f>_xlfn.XLOOKUP(Base_CRM[[#This Row],[Cód do Cliente]],'[1]F &amp; O'!$A:$A,'[1]F &amp; O'!D:D,"Sem Finder",0,1)</f>
        <v>Sem Finder</v>
      </c>
      <c r="S172" s="11" t="str">
        <f>_xlfn.XLOOKUP(Base_CRM[[#This Row],[Cód do Cliente]],'[1]F &amp; O'!$A:$A,'[1]F &amp; O'!E:E,"Sem Canal",0,1)</f>
        <v>Gestora</v>
      </c>
      <c r="T172" s="11" t="str">
        <f t="shared" si="2"/>
        <v>Cliente XP</v>
      </c>
    </row>
    <row r="173" spans="1:20" x14ac:dyDescent="0.3">
      <c r="A173">
        <v>18058746</v>
      </c>
      <c r="B173" s="8" t="s">
        <v>378</v>
      </c>
      <c r="C173" s="9" t="s">
        <v>48</v>
      </c>
      <c r="D173" s="8">
        <v>2594982.31</v>
      </c>
      <c r="E173">
        <v>52000000</v>
      </c>
      <c r="F173" t="s">
        <v>22</v>
      </c>
      <c r="G173" t="s">
        <v>30</v>
      </c>
      <c r="H173" s="10">
        <v>26188</v>
      </c>
      <c r="I173" s="10" t="s">
        <v>379</v>
      </c>
      <c r="K173" t="s">
        <v>42</v>
      </c>
      <c r="L173" t="s">
        <v>380</v>
      </c>
      <c r="N173" s="11" t="str">
        <f>Base_CRM[[#This Row],[Cidade]]&amp;"/"&amp;Base_CRM[[#This Row],[Estado]]</f>
        <v>Barueri/</v>
      </c>
      <c r="O173" s="12">
        <f>IFERROR(IF(Base_CRM[[#This Row],[PL Tailor]]&gt;Base_CRM[[#This Row],[PL Declarado]],1,Base_CRM[[#This Row],[PL Tailor]]/Base_CRM[[#This Row],[PL Declarado]]),0)</f>
        <v>4.9903505961538461E-2</v>
      </c>
      <c r="P173" s="11" t="str">
        <f>IF(Base_CRM[[#This Row],[Estado Civil]]="","PESSOA JURÍDICA","PESSOA FÍSICA")</f>
        <v>PESSOA FÍSICA</v>
      </c>
      <c r="Q173" t="str">
        <f>_xlfn.XLOOKUP(Base_CRM[[#This Row],[Cód do Cliente]],'[1]F &amp; O'!$A:$A,'[1]F &amp; O'!$F:$F,_xlfn.XLOOKUP(Base_CRM[[#This Row],[Assessor]],[1]DePara!$A:$A,[1]DePara!$D:$D,"Outros",0,1),0,1)</f>
        <v>Raphael Farias</v>
      </c>
      <c r="R173" s="11" t="str">
        <f>_xlfn.XLOOKUP(Base_CRM[[#This Row],[Cód do Cliente]],'[1]F &amp; O'!$A:$A,'[1]F &amp; O'!D:D,"Sem Finder",0,1)</f>
        <v>Sem Finder</v>
      </c>
      <c r="S173" s="11" t="str">
        <f>_xlfn.XLOOKUP(Base_CRM[[#This Row],[Cód do Cliente]],'[1]F &amp; O'!$A:$A,'[1]F &amp; O'!E:E,"Sem Canal",0,1)</f>
        <v>Sem Canal</v>
      </c>
      <c r="T173" s="11" t="str">
        <f t="shared" si="2"/>
        <v>Cliente XP</v>
      </c>
    </row>
    <row r="174" spans="1:20" x14ac:dyDescent="0.3">
      <c r="A174">
        <v>18084490</v>
      </c>
      <c r="B174" s="8" t="s">
        <v>458</v>
      </c>
      <c r="C174" s="9" t="s">
        <v>39</v>
      </c>
      <c r="D174" s="8">
        <v>4398.3100000000004</v>
      </c>
      <c r="E174">
        <v>600</v>
      </c>
      <c r="F174" t="s">
        <v>29</v>
      </c>
      <c r="G174" t="s">
        <v>45</v>
      </c>
      <c r="H174" s="10">
        <v>39484</v>
      </c>
      <c r="I174" s="10" t="s">
        <v>285</v>
      </c>
      <c r="K174" t="s">
        <v>25</v>
      </c>
      <c r="L174" t="s">
        <v>459</v>
      </c>
      <c r="N174" s="11" t="str">
        <f>Base_CRM[[#This Row],[Cidade]]&amp;"/"&amp;Base_CRM[[#This Row],[Estado]]</f>
        <v>SANTANA DE PARNAIBA/</v>
      </c>
      <c r="O174" s="12">
        <f>IFERROR(IF(Base_CRM[[#This Row],[PL Tailor]]&gt;Base_CRM[[#This Row],[PL Declarado]],1,Base_CRM[[#This Row],[PL Tailor]]/Base_CRM[[#This Row],[PL Declarado]]),0)</f>
        <v>1</v>
      </c>
      <c r="P174" s="11" t="str">
        <f>IF(Base_CRM[[#This Row],[Estado Civil]]="","PESSOA JURÍDICA","PESSOA FÍSICA")</f>
        <v>PESSOA FÍSICA</v>
      </c>
      <c r="Q174" t="str">
        <f>_xlfn.XLOOKUP(Base_CRM[[#This Row],[Cód do Cliente]],'[1]F &amp; O'!$A:$A,'[1]F &amp; O'!$F:$F,_xlfn.XLOOKUP(Base_CRM[[#This Row],[Assessor]],[1]DePara!$A:$A,[1]DePara!$D:$D,"Outros",0,1),0,1)</f>
        <v>Gestora</v>
      </c>
      <c r="R174" s="11" t="str">
        <f>_xlfn.XLOOKUP(Base_CRM[[#This Row],[Cód do Cliente]],'[1]F &amp; O'!$A:$A,'[1]F &amp; O'!D:D,"Sem Finder",0,1)</f>
        <v>Sem Finder</v>
      </c>
      <c r="S174" s="11" t="str">
        <f>_xlfn.XLOOKUP(Base_CRM[[#This Row],[Cód do Cliente]],'[1]F &amp; O'!$A:$A,'[1]F &amp; O'!E:E,"Sem Canal",0,1)</f>
        <v>Gestora</v>
      </c>
      <c r="T174" s="11" t="str">
        <f t="shared" si="2"/>
        <v>Cliente XP</v>
      </c>
    </row>
    <row r="175" spans="1:20" x14ac:dyDescent="0.3">
      <c r="A175">
        <v>18094872</v>
      </c>
      <c r="B175" s="8" t="s">
        <v>378</v>
      </c>
      <c r="C175" s="9" t="s">
        <v>48</v>
      </c>
      <c r="D175" s="8">
        <v>0</v>
      </c>
      <c r="E175">
        <v>52000000</v>
      </c>
      <c r="F175" t="s">
        <v>22</v>
      </c>
      <c r="G175" t="s">
        <v>30</v>
      </c>
      <c r="H175" s="10">
        <v>26188</v>
      </c>
      <c r="I175" s="10" t="s">
        <v>379</v>
      </c>
      <c r="K175" t="s">
        <v>42</v>
      </c>
      <c r="L175" t="s">
        <v>380</v>
      </c>
      <c r="N175" s="11" t="str">
        <f>Base_CRM[[#This Row],[Cidade]]&amp;"/"&amp;Base_CRM[[#This Row],[Estado]]</f>
        <v>Barueri/</v>
      </c>
      <c r="O175" s="12">
        <f>IFERROR(IF(Base_CRM[[#This Row],[PL Tailor]]&gt;Base_CRM[[#This Row],[PL Declarado]],1,Base_CRM[[#This Row],[PL Tailor]]/Base_CRM[[#This Row],[PL Declarado]]),0)</f>
        <v>0</v>
      </c>
      <c r="P175" s="11" t="str">
        <f>IF(Base_CRM[[#This Row],[Estado Civil]]="","PESSOA JURÍDICA","PESSOA FÍSICA")</f>
        <v>PESSOA FÍSICA</v>
      </c>
      <c r="Q175" t="str">
        <f>_xlfn.XLOOKUP(Base_CRM[[#This Row],[Cód do Cliente]],'[1]F &amp; O'!$A:$A,'[1]F &amp; O'!$F:$F,_xlfn.XLOOKUP(Base_CRM[[#This Row],[Assessor]],[1]DePara!$A:$A,[1]DePara!$D:$D,"Outros",0,1),0,1)</f>
        <v>Raphael Farias</v>
      </c>
      <c r="R175" s="11" t="str">
        <f>_xlfn.XLOOKUP(Base_CRM[[#This Row],[Cód do Cliente]],'[1]F &amp; O'!$A:$A,'[1]F &amp; O'!D:D,"Sem Finder",0,1)</f>
        <v>Sem Finder</v>
      </c>
      <c r="S175" s="11" t="str">
        <f>_xlfn.XLOOKUP(Base_CRM[[#This Row],[Cód do Cliente]],'[1]F &amp; O'!$A:$A,'[1]F &amp; O'!E:E,"Sem Canal",0,1)</f>
        <v>Sem Canal</v>
      </c>
      <c r="T175" s="11" t="str">
        <f t="shared" si="2"/>
        <v>Cliente XP</v>
      </c>
    </row>
    <row r="176" spans="1:20" x14ac:dyDescent="0.3">
      <c r="A176">
        <v>18132900</v>
      </c>
      <c r="B176" s="8" t="s">
        <v>460</v>
      </c>
      <c r="C176" s="9" t="s">
        <v>39</v>
      </c>
      <c r="D176" s="8">
        <v>41020.269999999997</v>
      </c>
      <c r="E176">
        <v>0</v>
      </c>
      <c r="F176" t="s">
        <v>29</v>
      </c>
      <c r="G176" t="s">
        <v>45</v>
      </c>
      <c r="H176" s="10">
        <v>37196</v>
      </c>
      <c r="I176" s="10" t="s">
        <v>31</v>
      </c>
      <c r="K176" t="s">
        <v>25</v>
      </c>
      <c r="L176" t="s">
        <v>461</v>
      </c>
      <c r="N176" s="11" t="str">
        <f>Base_CRM[[#This Row],[Cidade]]&amp;"/"&amp;Base_CRM[[#This Row],[Estado]]</f>
        <v>SAO PAULO/</v>
      </c>
      <c r="O176" s="12">
        <f>IFERROR(IF(Base_CRM[[#This Row],[PL Tailor]]&gt;Base_CRM[[#This Row],[PL Declarado]],1,Base_CRM[[#This Row],[PL Tailor]]/Base_CRM[[#This Row],[PL Declarado]]),0)</f>
        <v>1</v>
      </c>
      <c r="P176" s="11" t="str">
        <f>IF(Base_CRM[[#This Row],[Estado Civil]]="","PESSOA JURÍDICA","PESSOA FÍSICA")</f>
        <v>PESSOA FÍSICA</v>
      </c>
      <c r="Q176" t="str">
        <f>_xlfn.XLOOKUP(Base_CRM[[#This Row],[Cód do Cliente]],'[1]F &amp; O'!$A:$A,'[1]F &amp; O'!$F:$F,_xlfn.XLOOKUP(Base_CRM[[#This Row],[Assessor]],[1]DePara!$A:$A,[1]DePara!$D:$D,"Outros",0,1),0,1)</f>
        <v>Gestora</v>
      </c>
      <c r="R176" s="11" t="str">
        <f>_xlfn.XLOOKUP(Base_CRM[[#This Row],[Cód do Cliente]],'[1]F &amp; O'!$A:$A,'[1]F &amp; O'!D:D,"Sem Finder",0,1)</f>
        <v>Sem Finder</v>
      </c>
      <c r="S176" s="11" t="str">
        <f>_xlfn.XLOOKUP(Base_CRM[[#This Row],[Cód do Cliente]],'[1]F &amp; O'!$A:$A,'[1]F &amp; O'!E:E,"Sem Canal",0,1)</f>
        <v>Gestora</v>
      </c>
      <c r="T176" s="11" t="str">
        <f t="shared" si="2"/>
        <v>Cliente XP</v>
      </c>
    </row>
    <row r="177" spans="1:20" x14ac:dyDescent="0.3">
      <c r="A177">
        <v>18144357</v>
      </c>
      <c r="B177" s="8" t="s">
        <v>462</v>
      </c>
      <c r="C177" s="9" t="s">
        <v>48</v>
      </c>
      <c r="D177" s="8">
        <v>3246144.42</v>
      </c>
      <c r="E177">
        <v>5000000</v>
      </c>
      <c r="F177" t="s">
        <v>29</v>
      </c>
      <c r="G177" t="s">
        <v>207</v>
      </c>
      <c r="H177" s="10">
        <v>30323</v>
      </c>
      <c r="I177" s="10" t="s">
        <v>463</v>
      </c>
      <c r="K177" t="s">
        <v>25</v>
      </c>
      <c r="L177" t="s">
        <v>464</v>
      </c>
      <c r="N177" s="11" t="str">
        <f>Base_CRM[[#This Row],[Cidade]]&amp;"/"&amp;Base_CRM[[#This Row],[Estado]]</f>
        <v>BRASILIA/</v>
      </c>
      <c r="O177" s="12">
        <f>IFERROR(IF(Base_CRM[[#This Row],[PL Tailor]]&gt;Base_CRM[[#This Row],[PL Declarado]],1,Base_CRM[[#This Row],[PL Tailor]]/Base_CRM[[#This Row],[PL Declarado]]),0)</f>
        <v>0.64922888400000001</v>
      </c>
      <c r="P177" s="11" t="str">
        <f>IF(Base_CRM[[#This Row],[Estado Civil]]="","PESSOA JURÍDICA","PESSOA FÍSICA")</f>
        <v>PESSOA FÍSICA</v>
      </c>
      <c r="Q177" t="str">
        <f>_xlfn.XLOOKUP(Base_CRM[[#This Row],[Cód do Cliente]],'[1]F &amp; O'!$A:$A,'[1]F &amp; O'!$F:$F,_xlfn.XLOOKUP(Base_CRM[[#This Row],[Assessor]],[1]DePara!$A:$A,[1]DePara!$D:$D,"Outros",0,1),0,1)</f>
        <v>Raphael Farias</v>
      </c>
      <c r="R177" s="11" t="str">
        <f>_xlfn.XLOOKUP(Base_CRM[[#This Row],[Cód do Cliente]],'[1]F &amp; O'!$A:$A,'[1]F &amp; O'!D:D,"Sem Finder",0,1)</f>
        <v>Sem Finder</v>
      </c>
      <c r="S177" s="11" t="str">
        <f>_xlfn.XLOOKUP(Base_CRM[[#This Row],[Cód do Cliente]],'[1]F &amp; O'!$A:$A,'[1]F &amp; O'!E:E,"Sem Canal",0,1)</f>
        <v>Sem Canal</v>
      </c>
      <c r="T177" s="11" t="str">
        <f t="shared" si="2"/>
        <v>Cliente XP</v>
      </c>
    </row>
    <row r="178" spans="1:20" x14ac:dyDescent="0.3">
      <c r="A178">
        <v>18304269</v>
      </c>
      <c r="B178" s="8" t="s">
        <v>465</v>
      </c>
      <c r="C178" s="9" t="s">
        <v>34</v>
      </c>
      <c r="D178" s="8">
        <v>146986.38</v>
      </c>
      <c r="E178">
        <v>350000</v>
      </c>
      <c r="F178" t="s">
        <v>29</v>
      </c>
      <c r="G178" t="s">
        <v>67</v>
      </c>
      <c r="H178" s="10">
        <v>34442</v>
      </c>
      <c r="I178" s="10" t="s">
        <v>31</v>
      </c>
      <c r="K178" t="s">
        <v>25</v>
      </c>
      <c r="L178" t="s">
        <v>466</v>
      </c>
      <c r="N178" s="11" t="str">
        <f>Base_CRM[[#This Row],[Cidade]]&amp;"/"&amp;Base_CRM[[#This Row],[Estado]]</f>
        <v>SAO PAULO/</v>
      </c>
      <c r="O178" s="12">
        <f>IFERROR(IF(Base_CRM[[#This Row],[PL Tailor]]&gt;Base_CRM[[#This Row],[PL Declarado]],1,Base_CRM[[#This Row],[PL Tailor]]/Base_CRM[[#This Row],[PL Declarado]]),0)</f>
        <v>0.41996108571428575</v>
      </c>
      <c r="P178" s="11" t="str">
        <f>IF(Base_CRM[[#This Row],[Estado Civil]]="","PESSOA JURÍDICA","PESSOA FÍSICA")</f>
        <v>PESSOA FÍSICA</v>
      </c>
      <c r="Q178" t="str">
        <f>_xlfn.XLOOKUP(Base_CRM[[#This Row],[Cód do Cliente]],'[1]F &amp; O'!$A:$A,'[1]F &amp; O'!$F:$F,_xlfn.XLOOKUP(Base_CRM[[#This Row],[Assessor]],[1]DePara!$A:$A,[1]DePara!$D:$D,"Outros",0,1),0,1)</f>
        <v>Adonias Noronha</v>
      </c>
      <c r="R178" s="11" t="str">
        <f>_xlfn.XLOOKUP(Base_CRM[[#This Row],[Cód do Cliente]],'[1]F &amp; O'!$A:$A,'[1]F &amp; O'!D:D,"Sem Finder",0,1)</f>
        <v>Sem Finder</v>
      </c>
      <c r="S178" s="11" t="str">
        <f>_xlfn.XLOOKUP(Base_CRM[[#This Row],[Cód do Cliente]],'[1]F &amp; O'!$A:$A,'[1]F &amp; O'!E:E,"Sem Canal",0,1)</f>
        <v>Sem Canal</v>
      </c>
      <c r="T178" s="11" t="str">
        <f t="shared" si="2"/>
        <v>Cliente XP</v>
      </c>
    </row>
    <row r="179" spans="1:20" x14ac:dyDescent="0.3">
      <c r="A179">
        <v>18330872</v>
      </c>
      <c r="B179" s="8" t="s">
        <v>467</v>
      </c>
      <c r="C179" s="9" t="s">
        <v>39</v>
      </c>
      <c r="D179" s="8">
        <v>659312.98</v>
      </c>
      <c r="E179">
        <v>1000000</v>
      </c>
      <c r="F179" t="s">
        <v>22</v>
      </c>
      <c r="G179" t="s">
        <v>87</v>
      </c>
      <c r="H179" s="10">
        <v>32171</v>
      </c>
      <c r="I179" s="10" t="s">
        <v>31</v>
      </c>
      <c r="K179" t="s">
        <v>42</v>
      </c>
      <c r="L179" t="s">
        <v>468</v>
      </c>
      <c r="N179" s="11" t="str">
        <f>Base_CRM[[#This Row],[Cidade]]&amp;"/"&amp;Base_CRM[[#This Row],[Estado]]</f>
        <v>SAO PAULO/</v>
      </c>
      <c r="O179" s="12">
        <f>IFERROR(IF(Base_CRM[[#This Row],[PL Tailor]]&gt;Base_CRM[[#This Row],[PL Declarado]],1,Base_CRM[[#This Row],[PL Tailor]]/Base_CRM[[#This Row],[PL Declarado]]),0)</f>
        <v>0.65931297999999994</v>
      </c>
      <c r="P179" s="11" t="str">
        <f>IF(Base_CRM[[#This Row],[Estado Civil]]="","PESSOA JURÍDICA","PESSOA FÍSICA")</f>
        <v>PESSOA FÍSICA</v>
      </c>
      <c r="Q179" t="str">
        <f>_xlfn.XLOOKUP(Base_CRM[[#This Row],[Cód do Cliente]],'[1]F &amp; O'!$A:$A,'[1]F &amp; O'!$F:$F,_xlfn.XLOOKUP(Base_CRM[[#This Row],[Assessor]],[1]DePara!$A:$A,[1]DePara!$D:$D,"Outros",0,1),0,1)</f>
        <v>Raphael Farias</v>
      </c>
      <c r="R179" s="11" t="str">
        <f>_xlfn.XLOOKUP(Base_CRM[[#This Row],[Cód do Cliente]],'[1]F &amp; O'!$A:$A,'[1]F &amp; O'!D:D,"Sem Finder",0,1)</f>
        <v>Pedro Chagas</v>
      </c>
      <c r="S179" s="11" t="str">
        <f>_xlfn.XLOOKUP(Base_CRM[[#This Row],[Cód do Cliente]],'[1]F &amp; O'!$A:$A,'[1]F &amp; O'!E:E,"Sem Canal",0,1)</f>
        <v>Sem Canal</v>
      </c>
      <c r="T179" s="11" t="str">
        <f t="shared" si="2"/>
        <v>Cliente XP</v>
      </c>
    </row>
    <row r="180" spans="1:20" x14ac:dyDescent="0.3">
      <c r="A180">
        <v>18333849</v>
      </c>
      <c r="B180" s="8" t="s">
        <v>469</v>
      </c>
      <c r="C180" s="9" t="s">
        <v>39</v>
      </c>
      <c r="D180" s="8">
        <v>186645.5</v>
      </c>
      <c r="E180">
        <v>1000000</v>
      </c>
      <c r="F180" t="s">
        <v>29</v>
      </c>
      <c r="G180" t="s">
        <v>87</v>
      </c>
      <c r="H180" s="10">
        <v>35228</v>
      </c>
      <c r="I180" s="10" t="s">
        <v>31</v>
      </c>
      <c r="K180" t="s">
        <v>25</v>
      </c>
      <c r="L180" t="s">
        <v>470</v>
      </c>
      <c r="N180" s="11" t="str">
        <f>Base_CRM[[#This Row],[Cidade]]&amp;"/"&amp;Base_CRM[[#This Row],[Estado]]</f>
        <v>SAO PAULO/</v>
      </c>
      <c r="O180" s="12">
        <f>IFERROR(IF(Base_CRM[[#This Row],[PL Tailor]]&gt;Base_CRM[[#This Row],[PL Declarado]],1,Base_CRM[[#This Row],[PL Tailor]]/Base_CRM[[#This Row],[PL Declarado]]),0)</f>
        <v>0.18664549999999999</v>
      </c>
      <c r="P180" s="11" t="str">
        <f>IF(Base_CRM[[#This Row],[Estado Civil]]="","PESSOA JURÍDICA","PESSOA FÍSICA")</f>
        <v>PESSOA FÍSICA</v>
      </c>
      <c r="Q180" t="str">
        <f>_xlfn.XLOOKUP(Base_CRM[[#This Row],[Cód do Cliente]],'[1]F &amp; O'!$A:$A,'[1]F &amp; O'!$F:$F,_xlfn.XLOOKUP(Base_CRM[[#This Row],[Assessor]],[1]DePara!$A:$A,[1]DePara!$D:$D,"Outros",0,1),0,1)</f>
        <v>Gestora</v>
      </c>
      <c r="R180" s="11" t="str">
        <f>_xlfn.XLOOKUP(Base_CRM[[#This Row],[Cód do Cliente]],'[1]F &amp; O'!$A:$A,'[1]F &amp; O'!D:D,"Sem Finder",0,1)</f>
        <v>Sem Finder</v>
      </c>
      <c r="S180" s="11" t="str">
        <f>_xlfn.XLOOKUP(Base_CRM[[#This Row],[Cód do Cliente]],'[1]F &amp; O'!$A:$A,'[1]F &amp; O'!E:E,"Sem Canal",0,1)</f>
        <v>Sem Canal</v>
      </c>
      <c r="T180" s="11" t="str">
        <f t="shared" si="2"/>
        <v>Cliente XP</v>
      </c>
    </row>
    <row r="181" spans="1:20" x14ac:dyDescent="0.3">
      <c r="A181">
        <v>18342447</v>
      </c>
      <c r="B181" s="8" t="s">
        <v>471</v>
      </c>
      <c r="C181" s="9" t="s">
        <v>48</v>
      </c>
      <c r="D181" s="8">
        <v>7353606.3799999999</v>
      </c>
      <c r="E181">
        <v>5000000</v>
      </c>
      <c r="F181" t="s">
        <v>22</v>
      </c>
      <c r="G181" t="s">
        <v>87</v>
      </c>
      <c r="H181" s="10">
        <v>24209</v>
      </c>
      <c r="I181" s="10" t="s">
        <v>31</v>
      </c>
      <c r="K181" t="s">
        <v>42</v>
      </c>
      <c r="L181" t="s">
        <v>472</v>
      </c>
      <c r="N181" s="11" t="str">
        <f>Base_CRM[[#This Row],[Cidade]]&amp;"/"&amp;Base_CRM[[#This Row],[Estado]]</f>
        <v>SAO PAULO/</v>
      </c>
      <c r="O181" s="12">
        <f>IFERROR(IF(Base_CRM[[#This Row],[PL Tailor]]&gt;Base_CRM[[#This Row],[PL Declarado]],1,Base_CRM[[#This Row],[PL Tailor]]/Base_CRM[[#This Row],[PL Declarado]]),0)</f>
        <v>1</v>
      </c>
      <c r="P181" s="11" t="str">
        <f>IF(Base_CRM[[#This Row],[Estado Civil]]="","PESSOA JURÍDICA","PESSOA FÍSICA")</f>
        <v>PESSOA FÍSICA</v>
      </c>
      <c r="Q181" t="str">
        <f>_xlfn.XLOOKUP(Base_CRM[[#This Row],[Cód do Cliente]],'[1]F &amp; O'!$A:$A,'[1]F &amp; O'!$F:$F,_xlfn.XLOOKUP(Base_CRM[[#This Row],[Assessor]],[1]DePara!$A:$A,[1]DePara!$D:$D,"Outros",0,1),0,1)</f>
        <v>Raphael Farias</v>
      </c>
      <c r="R181" s="11" t="str">
        <f>_xlfn.XLOOKUP(Base_CRM[[#This Row],[Cód do Cliente]],'[1]F &amp; O'!$A:$A,'[1]F &amp; O'!D:D,"Sem Finder",0,1)</f>
        <v>Sem Finder</v>
      </c>
      <c r="S181" s="11" t="str">
        <f>_xlfn.XLOOKUP(Base_CRM[[#This Row],[Cód do Cliente]],'[1]F &amp; O'!$A:$A,'[1]F &amp; O'!E:E,"Sem Canal",0,1)</f>
        <v>Sem Canal</v>
      </c>
      <c r="T181" s="11" t="str">
        <f t="shared" si="2"/>
        <v>Cliente XP</v>
      </c>
    </row>
    <row r="182" spans="1:20" x14ac:dyDescent="0.3">
      <c r="A182">
        <v>18361215</v>
      </c>
      <c r="B182" s="8" t="s">
        <v>473</v>
      </c>
      <c r="C182" s="9" t="s">
        <v>48</v>
      </c>
      <c r="D182" s="8">
        <v>0</v>
      </c>
      <c r="E182">
        <v>1000000</v>
      </c>
      <c r="F182" t="s">
        <v>22</v>
      </c>
      <c r="G182" t="s">
        <v>67</v>
      </c>
      <c r="H182" s="10">
        <v>29282</v>
      </c>
      <c r="I182" s="10" t="s">
        <v>463</v>
      </c>
      <c r="K182" t="s">
        <v>42</v>
      </c>
      <c r="L182" t="s">
        <v>474</v>
      </c>
      <c r="N182" s="11" t="str">
        <f>Base_CRM[[#This Row],[Cidade]]&amp;"/"&amp;Base_CRM[[#This Row],[Estado]]</f>
        <v>BRASILIA/</v>
      </c>
      <c r="O182" s="12">
        <f>IFERROR(IF(Base_CRM[[#This Row],[PL Tailor]]&gt;Base_CRM[[#This Row],[PL Declarado]],1,Base_CRM[[#This Row],[PL Tailor]]/Base_CRM[[#This Row],[PL Declarado]]),0)</f>
        <v>0</v>
      </c>
      <c r="P182" s="11" t="str">
        <f>IF(Base_CRM[[#This Row],[Estado Civil]]="","PESSOA JURÍDICA","PESSOA FÍSICA")</f>
        <v>PESSOA FÍSICA</v>
      </c>
      <c r="Q182" t="str">
        <f>_xlfn.XLOOKUP(Base_CRM[[#This Row],[Cód do Cliente]],'[1]F &amp; O'!$A:$A,'[1]F &amp; O'!$F:$F,_xlfn.XLOOKUP(Base_CRM[[#This Row],[Assessor]],[1]DePara!$A:$A,[1]DePara!$D:$D,"Outros",0,1),0,1)</f>
        <v>Raphael Farias</v>
      </c>
      <c r="R182" s="11" t="str">
        <f>_xlfn.XLOOKUP(Base_CRM[[#This Row],[Cód do Cliente]],'[1]F &amp; O'!$A:$A,'[1]F &amp; O'!D:D,"Sem Finder",0,1)</f>
        <v>Sem Finder</v>
      </c>
      <c r="S182" s="11" t="str">
        <f>_xlfn.XLOOKUP(Base_CRM[[#This Row],[Cód do Cliente]],'[1]F &amp; O'!$A:$A,'[1]F &amp; O'!E:E,"Sem Canal",0,1)</f>
        <v>Sem Canal</v>
      </c>
      <c r="T182" s="11" t="str">
        <f t="shared" si="2"/>
        <v>Cliente XP</v>
      </c>
    </row>
    <row r="183" spans="1:20" x14ac:dyDescent="0.3">
      <c r="A183">
        <v>18462914</v>
      </c>
      <c r="B183" s="8" t="s">
        <v>475</v>
      </c>
      <c r="C183" s="9" t="s">
        <v>103</v>
      </c>
      <c r="D183" s="8">
        <v>782510.41</v>
      </c>
      <c r="E183">
        <v>10500000</v>
      </c>
      <c r="F183" t="s">
        <v>22</v>
      </c>
      <c r="G183" t="s">
        <v>476</v>
      </c>
      <c r="H183" s="10">
        <v>29502</v>
      </c>
      <c r="I183" s="10" t="s">
        <v>160</v>
      </c>
      <c r="K183" t="s">
        <v>25</v>
      </c>
      <c r="L183" t="s">
        <v>477</v>
      </c>
      <c r="M183" t="s">
        <v>27</v>
      </c>
      <c r="N183" s="11" t="str">
        <f>Base_CRM[[#This Row],[Cidade]]&amp;"/"&amp;Base_CRM[[#This Row],[Estado]]</f>
        <v>GUARULHOS/</v>
      </c>
      <c r="O183" s="12">
        <f>IFERROR(IF(Base_CRM[[#This Row],[PL Tailor]]&gt;Base_CRM[[#This Row],[PL Declarado]],1,Base_CRM[[#This Row],[PL Tailor]]/Base_CRM[[#This Row],[PL Declarado]]),0)</f>
        <v>7.4524800952380954E-2</v>
      </c>
      <c r="P183" s="11" t="str">
        <f>IF(Base_CRM[[#This Row],[Estado Civil]]="","PESSOA JURÍDICA","PESSOA FÍSICA")</f>
        <v>PESSOA FÍSICA</v>
      </c>
      <c r="Q183" t="str">
        <f>_xlfn.XLOOKUP(Base_CRM[[#This Row],[Cód do Cliente]],'[1]F &amp; O'!$A:$A,'[1]F &amp; O'!$F:$F,_xlfn.XLOOKUP(Base_CRM[[#This Row],[Assessor]],[1]DePara!$A:$A,[1]DePara!$D:$D,"Outros",0,1),0,1)</f>
        <v>Raphael Pereira</v>
      </c>
      <c r="R183" s="11" t="str">
        <f>_xlfn.XLOOKUP(Base_CRM[[#This Row],[Cód do Cliente]],'[1]F &amp; O'!$A:$A,'[1]F &amp; O'!D:D,"Sem Finder",0,1)</f>
        <v>Sem Finder</v>
      </c>
      <c r="S183" s="11" t="str">
        <f>_xlfn.XLOOKUP(Base_CRM[[#This Row],[Cód do Cliente]],'[1]F &amp; O'!$A:$A,'[1]F &amp; O'!E:E,"Sem Canal",0,1)</f>
        <v>Sem Canal</v>
      </c>
      <c r="T183" s="11" t="str">
        <f t="shared" si="2"/>
        <v>Cliente XP</v>
      </c>
    </row>
    <row r="184" spans="1:20" x14ac:dyDescent="0.3">
      <c r="A184">
        <v>18471112</v>
      </c>
      <c r="B184" s="8" t="s">
        <v>478</v>
      </c>
      <c r="C184" s="9" t="s">
        <v>48</v>
      </c>
      <c r="D184" s="8">
        <v>2643322.67</v>
      </c>
      <c r="E184">
        <v>2500000</v>
      </c>
      <c r="F184" t="s">
        <v>22</v>
      </c>
      <c r="G184" t="s">
        <v>67</v>
      </c>
      <c r="H184" s="10">
        <v>32498</v>
      </c>
      <c r="I184" s="10" t="s">
        <v>31</v>
      </c>
      <c r="K184" t="s">
        <v>25</v>
      </c>
      <c r="L184" t="s">
        <v>479</v>
      </c>
      <c r="N184" s="11" t="str">
        <f>Base_CRM[[#This Row],[Cidade]]&amp;"/"&amp;Base_CRM[[#This Row],[Estado]]</f>
        <v>SAO PAULO/</v>
      </c>
      <c r="O184" s="12">
        <f>IFERROR(IF(Base_CRM[[#This Row],[PL Tailor]]&gt;Base_CRM[[#This Row],[PL Declarado]],1,Base_CRM[[#This Row],[PL Tailor]]/Base_CRM[[#This Row],[PL Declarado]]),0)</f>
        <v>1</v>
      </c>
      <c r="P184" s="11" t="str">
        <f>IF(Base_CRM[[#This Row],[Estado Civil]]="","PESSOA JURÍDICA","PESSOA FÍSICA")</f>
        <v>PESSOA FÍSICA</v>
      </c>
      <c r="Q184" t="str">
        <f>_xlfn.XLOOKUP(Base_CRM[[#This Row],[Cód do Cliente]],'[1]F &amp; O'!$A:$A,'[1]F &amp; O'!$F:$F,_xlfn.XLOOKUP(Base_CRM[[#This Row],[Assessor]],[1]DePara!$A:$A,[1]DePara!$D:$D,"Outros",0,1),0,1)</f>
        <v>Raphael Farias</v>
      </c>
      <c r="R184" s="11" t="str">
        <f>_xlfn.XLOOKUP(Base_CRM[[#This Row],[Cód do Cliente]],'[1]F &amp; O'!$A:$A,'[1]F &amp; O'!D:D,"Sem Finder",0,1)</f>
        <v>Sem Finder</v>
      </c>
      <c r="S184" s="11" t="str">
        <f>_xlfn.XLOOKUP(Base_CRM[[#This Row],[Cód do Cliente]],'[1]F &amp; O'!$A:$A,'[1]F &amp; O'!E:E,"Sem Canal",0,1)</f>
        <v>Sem Canal</v>
      </c>
      <c r="T184" s="11" t="str">
        <f t="shared" si="2"/>
        <v>Cliente XP</v>
      </c>
    </row>
    <row r="185" spans="1:20" x14ac:dyDescent="0.3">
      <c r="A185">
        <v>18482847</v>
      </c>
      <c r="B185" s="8" t="s">
        <v>480</v>
      </c>
      <c r="C185" s="9" t="s">
        <v>103</v>
      </c>
      <c r="D185" s="8">
        <v>1512402.64</v>
      </c>
      <c r="E185">
        <v>1500000</v>
      </c>
      <c r="F185" t="s">
        <v>22</v>
      </c>
      <c r="G185" t="s">
        <v>67</v>
      </c>
      <c r="H185" s="10">
        <v>33342</v>
      </c>
      <c r="I185" s="10" t="s">
        <v>315</v>
      </c>
      <c r="K185" t="s">
        <v>42</v>
      </c>
      <c r="L185" t="s">
        <v>481</v>
      </c>
      <c r="N185" s="11" t="str">
        <f>Base_CRM[[#This Row],[Cidade]]&amp;"/"&amp;Base_CRM[[#This Row],[Estado]]</f>
        <v>Niterói/</v>
      </c>
      <c r="O185" s="12">
        <f>IFERROR(IF(Base_CRM[[#This Row],[PL Tailor]]&gt;Base_CRM[[#This Row],[PL Declarado]],1,Base_CRM[[#This Row],[PL Tailor]]/Base_CRM[[#This Row],[PL Declarado]]),0)</f>
        <v>1</v>
      </c>
      <c r="P185" s="11" t="str">
        <f>IF(Base_CRM[[#This Row],[Estado Civil]]="","PESSOA JURÍDICA","PESSOA FÍSICA")</f>
        <v>PESSOA FÍSICA</v>
      </c>
      <c r="Q185" t="str">
        <f>_xlfn.XLOOKUP(Base_CRM[[#This Row],[Cód do Cliente]],'[1]F &amp; O'!$A:$A,'[1]F &amp; O'!$F:$F,_xlfn.XLOOKUP(Base_CRM[[#This Row],[Assessor]],[1]DePara!$A:$A,[1]DePara!$D:$D,"Outros",0,1),0,1)</f>
        <v>Raphael Pereira</v>
      </c>
      <c r="R185" s="11" t="str">
        <f>_xlfn.XLOOKUP(Base_CRM[[#This Row],[Cód do Cliente]],'[1]F &amp; O'!$A:$A,'[1]F &amp; O'!D:D,"Sem Finder",0,1)</f>
        <v>Gustavo Faria</v>
      </c>
      <c r="S185" s="11" t="str">
        <f>_xlfn.XLOOKUP(Base_CRM[[#This Row],[Cód do Cliente]],'[1]F &amp; O'!$A:$A,'[1]F &amp; O'!E:E,"Sem Canal",0,1)</f>
        <v>Sem Canal</v>
      </c>
      <c r="T185" s="11" t="str">
        <f t="shared" si="2"/>
        <v>Cliente XP</v>
      </c>
    </row>
    <row r="186" spans="1:20" x14ac:dyDescent="0.3">
      <c r="A186">
        <v>18501049</v>
      </c>
      <c r="B186" s="8" t="s">
        <v>482</v>
      </c>
      <c r="C186" s="9" t="s">
        <v>48</v>
      </c>
      <c r="D186" s="8">
        <v>0</v>
      </c>
      <c r="E186">
        <v>0</v>
      </c>
      <c r="G186" t="s">
        <v>67</v>
      </c>
      <c r="H186" s="10">
        <v>33494</v>
      </c>
      <c r="I186" s="10" t="s">
        <v>346</v>
      </c>
      <c r="K186" t="s">
        <v>25</v>
      </c>
      <c r="L186" t="s">
        <v>483</v>
      </c>
      <c r="N186" s="11" t="str">
        <f>Base_CRM[[#This Row],[Cidade]]&amp;"/"&amp;Base_CRM[[#This Row],[Estado]]</f>
        <v>PORTO ALEGRE/</v>
      </c>
      <c r="O186" s="12">
        <f>IFERROR(IF(Base_CRM[[#This Row],[PL Tailor]]&gt;Base_CRM[[#This Row],[PL Declarado]],1,Base_CRM[[#This Row],[PL Tailor]]/Base_CRM[[#This Row],[PL Declarado]]),0)</f>
        <v>0</v>
      </c>
      <c r="P186" s="11" t="str">
        <f>IF(Base_CRM[[#This Row],[Estado Civil]]="","PESSOA JURÍDICA","PESSOA FÍSICA")</f>
        <v>PESSOA FÍSICA</v>
      </c>
      <c r="Q186" t="str">
        <f>_xlfn.XLOOKUP(Base_CRM[[#This Row],[Cód do Cliente]],'[1]F &amp; O'!$A:$A,'[1]F &amp; O'!$F:$F,_xlfn.XLOOKUP(Base_CRM[[#This Row],[Assessor]],[1]DePara!$A:$A,[1]DePara!$D:$D,"Outros",0,1),0,1)</f>
        <v>Raphael Farias</v>
      </c>
      <c r="R186" s="11" t="str">
        <f>_xlfn.XLOOKUP(Base_CRM[[#This Row],[Cód do Cliente]],'[1]F &amp; O'!$A:$A,'[1]F &amp; O'!D:D,"Sem Finder",0,1)</f>
        <v>Sem Finder</v>
      </c>
      <c r="S186" s="11" t="str">
        <f>_xlfn.XLOOKUP(Base_CRM[[#This Row],[Cód do Cliente]],'[1]F &amp; O'!$A:$A,'[1]F &amp; O'!E:E,"Sem Canal",0,1)</f>
        <v>Sem Canal</v>
      </c>
      <c r="T186" s="11" t="str">
        <f t="shared" si="2"/>
        <v>Cliente XP</v>
      </c>
    </row>
    <row r="187" spans="1:20" x14ac:dyDescent="0.3">
      <c r="A187">
        <v>18525171</v>
      </c>
      <c r="B187" s="8" t="s">
        <v>484</v>
      </c>
      <c r="C187" s="9" t="s">
        <v>74</v>
      </c>
      <c r="D187" s="8">
        <v>14036.64</v>
      </c>
      <c r="E187">
        <v>1100000</v>
      </c>
      <c r="F187" t="s">
        <v>29</v>
      </c>
      <c r="G187" t="s">
        <v>67</v>
      </c>
      <c r="H187" s="10">
        <v>37505</v>
      </c>
      <c r="I187" s="10" t="s">
        <v>282</v>
      </c>
      <c r="K187" t="s">
        <v>25</v>
      </c>
      <c r="L187" t="s">
        <v>485</v>
      </c>
      <c r="N187" s="11" t="str">
        <f>Base_CRM[[#This Row],[Cidade]]&amp;"/"&amp;Base_CRM[[#This Row],[Estado]]</f>
        <v>SANTOS/</v>
      </c>
      <c r="O187" s="12">
        <f>IFERROR(IF(Base_CRM[[#This Row],[PL Tailor]]&gt;Base_CRM[[#This Row],[PL Declarado]],1,Base_CRM[[#This Row],[PL Tailor]]/Base_CRM[[#This Row],[PL Declarado]]),0)</f>
        <v>1.2760581818181817E-2</v>
      </c>
      <c r="P187" s="11" t="str">
        <f>IF(Base_CRM[[#This Row],[Estado Civil]]="","PESSOA JURÍDICA","PESSOA FÍSICA")</f>
        <v>PESSOA FÍSICA</v>
      </c>
      <c r="Q187" t="str">
        <f>_xlfn.XLOOKUP(Base_CRM[[#This Row],[Cód do Cliente]],'[1]F &amp; O'!$A:$A,'[1]F &amp; O'!$F:$F,_xlfn.XLOOKUP(Base_CRM[[#This Row],[Assessor]],[1]DePara!$A:$A,[1]DePara!$D:$D,"Outros",0,1),0,1)</f>
        <v>Thayane Freitas</v>
      </c>
      <c r="R187" s="11" t="str">
        <f>_xlfn.XLOOKUP(Base_CRM[[#This Row],[Cód do Cliente]],'[1]F &amp; O'!$A:$A,'[1]F &amp; O'!D:D,"Sem Finder",0,1)</f>
        <v>Sem Finder</v>
      </c>
      <c r="S187" s="11" t="str">
        <f>_xlfn.XLOOKUP(Base_CRM[[#This Row],[Cód do Cliente]],'[1]F &amp; O'!$A:$A,'[1]F &amp; O'!E:E,"Sem Canal",0,1)</f>
        <v>Sem Canal</v>
      </c>
      <c r="T187" s="11" t="str">
        <f t="shared" si="2"/>
        <v>Cliente XP</v>
      </c>
    </row>
    <row r="188" spans="1:20" x14ac:dyDescent="0.3">
      <c r="A188">
        <v>18533658</v>
      </c>
      <c r="B188" s="8" t="s">
        <v>486</v>
      </c>
      <c r="C188" s="9" t="s">
        <v>34</v>
      </c>
      <c r="D188" s="8">
        <v>0</v>
      </c>
      <c r="E188">
        <v>0</v>
      </c>
      <c r="G188" t="s">
        <v>23</v>
      </c>
      <c r="H188" s="10">
        <v>24132</v>
      </c>
      <c r="I188" s="10" t="s">
        <v>31</v>
      </c>
      <c r="K188" t="s">
        <v>42</v>
      </c>
      <c r="L188" t="s">
        <v>487</v>
      </c>
      <c r="N188" s="11" t="str">
        <f>Base_CRM[[#This Row],[Cidade]]&amp;"/"&amp;Base_CRM[[#This Row],[Estado]]</f>
        <v>SAO PAULO/</v>
      </c>
      <c r="O188" s="12">
        <f>IFERROR(IF(Base_CRM[[#This Row],[PL Tailor]]&gt;Base_CRM[[#This Row],[PL Declarado]],1,Base_CRM[[#This Row],[PL Tailor]]/Base_CRM[[#This Row],[PL Declarado]]),0)</f>
        <v>0</v>
      </c>
      <c r="P188" s="11" t="str">
        <f>IF(Base_CRM[[#This Row],[Estado Civil]]="","PESSOA JURÍDICA","PESSOA FÍSICA")</f>
        <v>PESSOA FÍSICA</v>
      </c>
      <c r="Q188" t="str">
        <f>_xlfn.XLOOKUP(Base_CRM[[#This Row],[Cód do Cliente]],'[1]F &amp; O'!$A:$A,'[1]F &amp; O'!$F:$F,_xlfn.XLOOKUP(Base_CRM[[#This Row],[Assessor]],[1]DePara!$A:$A,[1]DePara!$D:$D,"Outros",0,1),0,1)</f>
        <v>Adonias Noronha</v>
      </c>
      <c r="R188" s="11" t="str">
        <f>_xlfn.XLOOKUP(Base_CRM[[#This Row],[Cód do Cliente]],'[1]F &amp; O'!$A:$A,'[1]F &amp; O'!D:D,"Sem Finder",0,1)</f>
        <v>Sem Finder</v>
      </c>
      <c r="S188" s="11" t="str">
        <f>_xlfn.XLOOKUP(Base_CRM[[#This Row],[Cód do Cliente]],'[1]F &amp; O'!$A:$A,'[1]F &amp; O'!E:E,"Sem Canal",0,1)</f>
        <v>Sem Canal</v>
      </c>
      <c r="T188" s="11" t="str">
        <f t="shared" si="2"/>
        <v>Cliente XP</v>
      </c>
    </row>
    <row r="189" spans="1:20" x14ac:dyDescent="0.3">
      <c r="A189">
        <v>18615672</v>
      </c>
      <c r="B189" s="8" t="s">
        <v>488</v>
      </c>
      <c r="C189" s="9" t="s">
        <v>39</v>
      </c>
      <c r="D189" s="8">
        <v>352613.68</v>
      </c>
      <c r="E189">
        <v>1</v>
      </c>
      <c r="F189" t="s">
        <v>29</v>
      </c>
      <c r="G189" t="s">
        <v>45</v>
      </c>
      <c r="H189" s="10">
        <v>45749</v>
      </c>
      <c r="I189" s="10" t="s">
        <v>379</v>
      </c>
      <c r="K189" t="s">
        <v>25</v>
      </c>
      <c r="L189" t="s">
        <v>489</v>
      </c>
      <c r="N189" s="11" t="str">
        <f>Base_CRM[[#This Row],[Cidade]]&amp;"/"&amp;Base_CRM[[#This Row],[Estado]]</f>
        <v>Barueri/</v>
      </c>
      <c r="O189" s="12">
        <f>IFERROR(IF(Base_CRM[[#This Row],[PL Tailor]]&gt;Base_CRM[[#This Row],[PL Declarado]],1,Base_CRM[[#This Row],[PL Tailor]]/Base_CRM[[#This Row],[PL Declarado]]),0)</f>
        <v>1</v>
      </c>
      <c r="P189" s="11" t="str">
        <f>IF(Base_CRM[[#This Row],[Estado Civil]]="","PESSOA JURÍDICA","PESSOA FÍSICA")</f>
        <v>PESSOA FÍSICA</v>
      </c>
      <c r="Q189" t="str">
        <f>_xlfn.XLOOKUP(Base_CRM[[#This Row],[Cód do Cliente]],'[1]F &amp; O'!$A:$A,'[1]F &amp; O'!$F:$F,_xlfn.XLOOKUP(Base_CRM[[#This Row],[Assessor]],[1]DePara!$A:$A,[1]DePara!$D:$D,"Outros",0,1),0,1)</f>
        <v>Vinicius Bendela</v>
      </c>
      <c r="R189" s="11" t="str">
        <f>_xlfn.XLOOKUP(Base_CRM[[#This Row],[Cód do Cliente]],'[1]F &amp; O'!$A:$A,'[1]F &amp; O'!D:D,"Sem Finder",0,1)</f>
        <v>Sem Finder</v>
      </c>
      <c r="S189" s="11" t="str">
        <f>_xlfn.XLOOKUP(Base_CRM[[#This Row],[Cód do Cliente]],'[1]F &amp; O'!$A:$A,'[1]F &amp; O'!E:E,"Sem Canal",0,1)</f>
        <v>Sem Canal</v>
      </c>
      <c r="T189" s="11" t="str">
        <f t="shared" si="2"/>
        <v>Cliente XP</v>
      </c>
    </row>
    <row r="190" spans="1:20" x14ac:dyDescent="0.3">
      <c r="A190">
        <v>18636053</v>
      </c>
      <c r="B190" s="8" t="s">
        <v>490</v>
      </c>
      <c r="C190" s="9" t="s">
        <v>48</v>
      </c>
      <c r="D190" s="8">
        <v>250860.75</v>
      </c>
      <c r="E190">
        <v>0</v>
      </c>
      <c r="F190" t="s">
        <v>29</v>
      </c>
      <c r="G190" t="s">
        <v>491</v>
      </c>
      <c r="H190" s="10">
        <v>33185</v>
      </c>
      <c r="I190" s="10" t="s">
        <v>115</v>
      </c>
      <c r="K190" t="s">
        <v>25</v>
      </c>
      <c r="L190" t="s">
        <v>492</v>
      </c>
      <c r="N190" s="11" t="str">
        <f>Base_CRM[[#This Row],[Cidade]]&amp;"/"&amp;Base_CRM[[#This Row],[Estado]]</f>
        <v>BARUERI/</v>
      </c>
      <c r="O190" s="12">
        <f>IFERROR(IF(Base_CRM[[#This Row],[PL Tailor]]&gt;Base_CRM[[#This Row],[PL Declarado]],1,Base_CRM[[#This Row],[PL Tailor]]/Base_CRM[[#This Row],[PL Declarado]]),0)</f>
        <v>1</v>
      </c>
      <c r="P190" s="11" t="str">
        <f>IF(Base_CRM[[#This Row],[Estado Civil]]="","PESSOA JURÍDICA","PESSOA FÍSICA")</f>
        <v>PESSOA FÍSICA</v>
      </c>
      <c r="Q190" t="str">
        <f>_xlfn.XLOOKUP(Base_CRM[[#This Row],[Cód do Cliente]],'[1]F &amp; O'!$A:$A,'[1]F &amp; O'!$F:$F,_xlfn.XLOOKUP(Base_CRM[[#This Row],[Assessor]],[1]DePara!$A:$A,[1]DePara!$D:$D,"Outros",0,1),0,1)</f>
        <v>Raphael Farias</v>
      </c>
      <c r="R190" s="11" t="str">
        <f>_xlfn.XLOOKUP(Base_CRM[[#This Row],[Cód do Cliente]],'[1]F &amp; O'!$A:$A,'[1]F &amp; O'!D:D,"Sem Finder",0,1)</f>
        <v>Sem Finder</v>
      </c>
      <c r="S190" s="11" t="str">
        <f>_xlfn.XLOOKUP(Base_CRM[[#This Row],[Cód do Cliente]],'[1]F &amp; O'!$A:$A,'[1]F &amp; O'!E:E,"Sem Canal",0,1)</f>
        <v>Sem Canal</v>
      </c>
      <c r="T190" s="11" t="str">
        <f t="shared" si="2"/>
        <v>Cliente XP</v>
      </c>
    </row>
    <row r="191" spans="1:20" x14ac:dyDescent="0.3">
      <c r="A191">
        <v>18642775</v>
      </c>
      <c r="B191" s="8" t="s">
        <v>493</v>
      </c>
      <c r="C191" s="9" t="s">
        <v>34</v>
      </c>
      <c r="D191" s="8">
        <v>0</v>
      </c>
      <c r="E191">
        <v>1000000</v>
      </c>
      <c r="F191" t="s">
        <v>22</v>
      </c>
      <c r="G191" t="s">
        <v>67</v>
      </c>
      <c r="H191" s="10">
        <v>32465</v>
      </c>
      <c r="I191" s="10" t="s">
        <v>315</v>
      </c>
      <c r="K191" t="s">
        <v>42</v>
      </c>
      <c r="L191" t="s">
        <v>494</v>
      </c>
      <c r="N191" s="11" t="str">
        <f>Base_CRM[[#This Row],[Cidade]]&amp;"/"&amp;Base_CRM[[#This Row],[Estado]]</f>
        <v>Niterói/</v>
      </c>
      <c r="O191" s="12">
        <f>IFERROR(IF(Base_CRM[[#This Row],[PL Tailor]]&gt;Base_CRM[[#This Row],[PL Declarado]],1,Base_CRM[[#This Row],[PL Tailor]]/Base_CRM[[#This Row],[PL Declarado]]),0)</f>
        <v>0</v>
      </c>
      <c r="P191" s="11" t="str">
        <f>IF(Base_CRM[[#This Row],[Estado Civil]]="","PESSOA JURÍDICA","PESSOA FÍSICA")</f>
        <v>PESSOA FÍSICA</v>
      </c>
      <c r="Q191" t="str">
        <f>_xlfn.XLOOKUP(Base_CRM[[#This Row],[Cód do Cliente]],'[1]F &amp; O'!$A:$A,'[1]F &amp; O'!$F:$F,_xlfn.XLOOKUP(Base_CRM[[#This Row],[Assessor]],[1]DePara!$A:$A,[1]DePara!$D:$D,"Outros",0,1),0,1)</f>
        <v>Adonias Noronha</v>
      </c>
      <c r="R191" s="11" t="str">
        <f>_xlfn.XLOOKUP(Base_CRM[[#This Row],[Cód do Cliente]],'[1]F &amp; O'!$A:$A,'[1]F &amp; O'!D:D,"Sem Finder",0,1)</f>
        <v>Sem Finder</v>
      </c>
      <c r="S191" s="11" t="str">
        <f>_xlfn.XLOOKUP(Base_CRM[[#This Row],[Cód do Cliente]],'[1]F &amp; O'!$A:$A,'[1]F &amp; O'!E:E,"Sem Canal",0,1)</f>
        <v>Sem Canal</v>
      </c>
      <c r="T191" s="11" t="str">
        <f t="shared" si="2"/>
        <v>Cliente XP</v>
      </c>
    </row>
    <row r="192" spans="1:20" x14ac:dyDescent="0.3">
      <c r="A192">
        <v>18646496</v>
      </c>
      <c r="B192" s="8" t="s">
        <v>495</v>
      </c>
      <c r="C192" s="9" t="s">
        <v>34</v>
      </c>
      <c r="D192" s="8">
        <v>51901.77</v>
      </c>
      <c r="E192">
        <v>150000</v>
      </c>
      <c r="F192" t="s">
        <v>29</v>
      </c>
      <c r="G192" t="s">
        <v>67</v>
      </c>
      <c r="H192" s="10">
        <v>32636</v>
      </c>
      <c r="I192" s="10" t="s">
        <v>84</v>
      </c>
      <c r="K192" t="s">
        <v>42</v>
      </c>
      <c r="L192" t="s">
        <v>496</v>
      </c>
      <c r="N192" s="11" t="str">
        <f>Base_CRM[[#This Row],[Cidade]]&amp;"/"&amp;Base_CRM[[#This Row],[Estado]]</f>
        <v>NITEROI/</v>
      </c>
      <c r="O192" s="12">
        <f>IFERROR(IF(Base_CRM[[#This Row],[PL Tailor]]&gt;Base_CRM[[#This Row],[PL Declarado]],1,Base_CRM[[#This Row],[PL Tailor]]/Base_CRM[[#This Row],[PL Declarado]]),0)</f>
        <v>0.34601179999999998</v>
      </c>
      <c r="P192" s="11" t="str">
        <f>IF(Base_CRM[[#This Row],[Estado Civil]]="","PESSOA JURÍDICA","PESSOA FÍSICA")</f>
        <v>PESSOA FÍSICA</v>
      </c>
      <c r="Q192" t="str">
        <f>_xlfn.XLOOKUP(Base_CRM[[#This Row],[Cód do Cliente]],'[1]F &amp; O'!$A:$A,'[1]F &amp; O'!$F:$F,_xlfn.XLOOKUP(Base_CRM[[#This Row],[Assessor]],[1]DePara!$A:$A,[1]DePara!$D:$D,"Outros",0,1),0,1)</f>
        <v>Adonias Noronha</v>
      </c>
      <c r="R192" s="11" t="str">
        <f>_xlfn.XLOOKUP(Base_CRM[[#This Row],[Cód do Cliente]],'[1]F &amp; O'!$A:$A,'[1]F &amp; O'!D:D,"Sem Finder",0,1)</f>
        <v>Sem Finder</v>
      </c>
      <c r="S192" s="11" t="str">
        <f>_xlfn.XLOOKUP(Base_CRM[[#This Row],[Cód do Cliente]],'[1]F &amp; O'!$A:$A,'[1]F &amp; O'!E:E,"Sem Canal",0,1)</f>
        <v>Sem Canal</v>
      </c>
      <c r="T192" s="11" t="str">
        <f t="shared" si="2"/>
        <v>Cliente XP</v>
      </c>
    </row>
    <row r="193" spans="1:20" x14ac:dyDescent="0.3">
      <c r="A193">
        <v>18688068</v>
      </c>
      <c r="B193" s="8" t="s">
        <v>497</v>
      </c>
      <c r="C193" s="9" t="s">
        <v>74</v>
      </c>
      <c r="D193" s="8">
        <v>51122.46</v>
      </c>
      <c r="E193">
        <v>40000</v>
      </c>
      <c r="F193" t="s">
        <v>29</v>
      </c>
      <c r="G193" t="s">
        <v>228</v>
      </c>
      <c r="H193" s="10">
        <v>35444</v>
      </c>
      <c r="I193" s="10" t="s">
        <v>24</v>
      </c>
      <c r="K193" t="s">
        <v>25</v>
      </c>
      <c r="L193" t="s">
        <v>498</v>
      </c>
      <c r="N193" s="11" t="str">
        <f>Base_CRM[[#This Row],[Cidade]]&amp;"/"&amp;Base_CRM[[#This Row],[Estado]]</f>
        <v>RIO DE JANEIRO/</v>
      </c>
      <c r="O193" s="12">
        <f>IFERROR(IF(Base_CRM[[#This Row],[PL Tailor]]&gt;Base_CRM[[#This Row],[PL Declarado]],1,Base_CRM[[#This Row],[PL Tailor]]/Base_CRM[[#This Row],[PL Declarado]]),0)</f>
        <v>1</v>
      </c>
      <c r="P193" s="11" t="str">
        <f>IF(Base_CRM[[#This Row],[Estado Civil]]="","PESSOA JURÍDICA","PESSOA FÍSICA")</f>
        <v>PESSOA FÍSICA</v>
      </c>
      <c r="Q193" t="str">
        <f>_xlfn.XLOOKUP(Base_CRM[[#This Row],[Cód do Cliente]],'[1]F &amp; O'!$A:$A,'[1]F &amp; O'!$F:$F,_xlfn.XLOOKUP(Base_CRM[[#This Row],[Assessor]],[1]DePara!$A:$A,[1]DePara!$D:$D,"Outros",0,1),0,1)</f>
        <v>Thayane Freitas</v>
      </c>
      <c r="R193" s="11" t="str">
        <f>_xlfn.XLOOKUP(Base_CRM[[#This Row],[Cód do Cliente]],'[1]F &amp; O'!$A:$A,'[1]F &amp; O'!D:D,"Sem Finder",0,1)</f>
        <v>Sem Finder</v>
      </c>
      <c r="S193" s="11" t="str">
        <f>_xlfn.XLOOKUP(Base_CRM[[#This Row],[Cód do Cliente]],'[1]F &amp; O'!$A:$A,'[1]F &amp; O'!E:E,"Sem Canal",0,1)</f>
        <v>Sem Canal</v>
      </c>
      <c r="T193" s="11" t="str">
        <f t="shared" si="2"/>
        <v>Cliente XP</v>
      </c>
    </row>
    <row r="194" spans="1:20" x14ac:dyDescent="0.3">
      <c r="A194">
        <v>18693840</v>
      </c>
      <c r="B194" s="8" t="s">
        <v>499</v>
      </c>
      <c r="C194" s="9" t="s">
        <v>74</v>
      </c>
      <c r="D194" s="8">
        <v>103855.52</v>
      </c>
      <c r="E194">
        <v>0</v>
      </c>
      <c r="F194" t="s">
        <v>29</v>
      </c>
      <c r="G194" t="s">
        <v>164</v>
      </c>
      <c r="H194" s="10">
        <v>30177</v>
      </c>
      <c r="I194" s="10" t="s">
        <v>84</v>
      </c>
      <c r="K194" t="s">
        <v>68</v>
      </c>
      <c r="L194" t="s">
        <v>500</v>
      </c>
      <c r="N194" s="11" t="str">
        <f>Base_CRM[[#This Row],[Cidade]]&amp;"/"&amp;Base_CRM[[#This Row],[Estado]]</f>
        <v>NITEROI/</v>
      </c>
      <c r="O194" s="12">
        <f>IFERROR(IF(Base_CRM[[#This Row],[PL Tailor]]&gt;Base_CRM[[#This Row],[PL Declarado]],1,Base_CRM[[#This Row],[PL Tailor]]/Base_CRM[[#This Row],[PL Declarado]]),0)</f>
        <v>1</v>
      </c>
      <c r="P194" s="11" t="str">
        <f>IF(Base_CRM[[#This Row],[Estado Civil]]="","PESSOA JURÍDICA","PESSOA FÍSICA")</f>
        <v>PESSOA FÍSICA</v>
      </c>
      <c r="Q194" t="str">
        <f>_xlfn.XLOOKUP(Base_CRM[[#This Row],[Cód do Cliente]],'[1]F &amp; O'!$A:$A,'[1]F &amp; O'!$F:$F,_xlfn.XLOOKUP(Base_CRM[[#This Row],[Assessor]],[1]DePara!$A:$A,[1]DePara!$D:$D,"Outros",0,1),0,1)</f>
        <v>Thayane Freitas</v>
      </c>
      <c r="R194" s="11" t="str">
        <f>_xlfn.XLOOKUP(Base_CRM[[#This Row],[Cód do Cliente]],'[1]F &amp; O'!$A:$A,'[1]F &amp; O'!D:D,"Sem Finder",0,1)</f>
        <v>Sem Finder</v>
      </c>
      <c r="S194" s="11" t="str">
        <f>_xlfn.XLOOKUP(Base_CRM[[#This Row],[Cód do Cliente]],'[1]F &amp; O'!$A:$A,'[1]F &amp; O'!E:E,"Sem Canal",0,1)</f>
        <v>Sem Canal</v>
      </c>
      <c r="T194" s="11" t="str">
        <f t="shared" ref="T194:T257" si="3">"Cliente XP"</f>
        <v>Cliente XP</v>
      </c>
    </row>
    <row r="195" spans="1:20" x14ac:dyDescent="0.3">
      <c r="A195">
        <v>18774255</v>
      </c>
      <c r="B195" s="8" t="s">
        <v>501</v>
      </c>
      <c r="C195" s="9" t="s">
        <v>74</v>
      </c>
      <c r="D195" s="8">
        <v>228908.63</v>
      </c>
      <c r="E195">
        <v>250000</v>
      </c>
      <c r="F195" t="s">
        <v>29</v>
      </c>
      <c r="G195" t="s">
        <v>127</v>
      </c>
      <c r="H195" s="10">
        <v>22783</v>
      </c>
      <c r="I195" s="10" t="s">
        <v>31</v>
      </c>
      <c r="K195" t="s">
        <v>42</v>
      </c>
      <c r="L195" t="s">
        <v>502</v>
      </c>
      <c r="N195" s="11" t="str">
        <f>Base_CRM[[#This Row],[Cidade]]&amp;"/"&amp;Base_CRM[[#This Row],[Estado]]</f>
        <v>SAO PAULO/</v>
      </c>
      <c r="O195" s="12">
        <f>IFERROR(IF(Base_CRM[[#This Row],[PL Tailor]]&gt;Base_CRM[[#This Row],[PL Declarado]],1,Base_CRM[[#This Row],[PL Tailor]]/Base_CRM[[#This Row],[PL Declarado]]),0)</f>
        <v>0.91563452000000001</v>
      </c>
      <c r="P195" s="11" t="str">
        <f>IF(Base_CRM[[#This Row],[Estado Civil]]="","PESSOA JURÍDICA","PESSOA FÍSICA")</f>
        <v>PESSOA FÍSICA</v>
      </c>
      <c r="Q195" t="str">
        <f>_xlfn.XLOOKUP(Base_CRM[[#This Row],[Cód do Cliente]],'[1]F &amp; O'!$A:$A,'[1]F &amp; O'!$F:$F,_xlfn.XLOOKUP(Base_CRM[[#This Row],[Assessor]],[1]DePara!$A:$A,[1]DePara!$D:$D,"Outros",0,1),0,1)</f>
        <v>Thayane Freitas</v>
      </c>
      <c r="R195" s="11" t="str">
        <f>_xlfn.XLOOKUP(Base_CRM[[#This Row],[Cód do Cliente]],'[1]F &amp; O'!$A:$A,'[1]F &amp; O'!D:D,"Sem Finder",0,1)</f>
        <v>Sem Finder</v>
      </c>
      <c r="S195" s="11" t="str">
        <f>_xlfn.XLOOKUP(Base_CRM[[#This Row],[Cód do Cliente]],'[1]F &amp; O'!$A:$A,'[1]F &amp; O'!E:E,"Sem Canal",0,1)</f>
        <v>Sem Canal</v>
      </c>
      <c r="T195" s="11" t="str">
        <f t="shared" si="3"/>
        <v>Cliente XP</v>
      </c>
    </row>
    <row r="196" spans="1:20" x14ac:dyDescent="0.3">
      <c r="A196">
        <v>187917</v>
      </c>
      <c r="B196" s="8" t="s">
        <v>503</v>
      </c>
      <c r="C196" s="9" t="s">
        <v>34</v>
      </c>
      <c r="D196" s="8">
        <v>2373.25</v>
      </c>
      <c r="E196">
        <v>3000000</v>
      </c>
      <c r="F196" t="s">
        <v>22</v>
      </c>
      <c r="G196" t="s">
        <v>67</v>
      </c>
      <c r="H196" s="10">
        <v>25250</v>
      </c>
      <c r="I196" s="10" t="s">
        <v>255</v>
      </c>
      <c r="K196" t="s">
        <v>42</v>
      </c>
      <c r="L196" t="s">
        <v>504</v>
      </c>
      <c r="N196" s="11" t="str">
        <f>Base_CRM[[#This Row],[Cidade]]&amp;"/"&amp;Base_CRM[[#This Row],[Estado]]</f>
        <v>SAO JOSE DO RIO PRETO/</v>
      </c>
      <c r="O196" s="12">
        <f>IFERROR(IF(Base_CRM[[#This Row],[PL Tailor]]&gt;Base_CRM[[#This Row],[PL Declarado]],1,Base_CRM[[#This Row],[PL Tailor]]/Base_CRM[[#This Row],[PL Declarado]]),0)</f>
        <v>7.9108333333333331E-4</v>
      </c>
      <c r="P196" s="11" t="str">
        <f>IF(Base_CRM[[#This Row],[Estado Civil]]="","PESSOA JURÍDICA","PESSOA FÍSICA")</f>
        <v>PESSOA FÍSICA</v>
      </c>
      <c r="Q196" t="str">
        <f>_xlfn.XLOOKUP(Base_CRM[[#This Row],[Cód do Cliente]],'[1]F &amp; O'!$A:$A,'[1]F &amp; O'!$F:$F,_xlfn.XLOOKUP(Base_CRM[[#This Row],[Assessor]],[1]DePara!$A:$A,[1]DePara!$D:$D,"Outros",0,1),0,1)</f>
        <v>Adonias Noronha</v>
      </c>
      <c r="R196" s="11" t="str">
        <f>_xlfn.XLOOKUP(Base_CRM[[#This Row],[Cód do Cliente]],'[1]F &amp; O'!$A:$A,'[1]F &amp; O'!D:D,"Sem Finder",0,1)</f>
        <v>Sem Finder</v>
      </c>
      <c r="S196" s="11" t="str">
        <f>_xlfn.XLOOKUP(Base_CRM[[#This Row],[Cód do Cliente]],'[1]F &amp; O'!$A:$A,'[1]F &amp; O'!E:E,"Sem Canal",0,1)</f>
        <v>Sem Canal</v>
      </c>
      <c r="T196" s="11" t="str">
        <f t="shared" si="3"/>
        <v>Cliente XP</v>
      </c>
    </row>
    <row r="197" spans="1:20" x14ac:dyDescent="0.3">
      <c r="A197">
        <v>18832906</v>
      </c>
      <c r="B197" s="8" t="s">
        <v>505</v>
      </c>
      <c r="C197" s="9" t="s">
        <v>48</v>
      </c>
      <c r="D197" s="8">
        <v>1121497.26</v>
      </c>
      <c r="E197">
        <v>1000000</v>
      </c>
      <c r="F197" t="s">
        <v>29</v>
      </c>
      <c r="G197" t="s">
        <v>87</v>
      </c>
      <c r="H197" s="10">
        <v>28303</v>
      </c>
      <c r="I197" s="10" t="s">
        <v>506</v>
      </c>
      <c r="K197" t="s">
        <v>68</v>
      </c>
      <c r="L197" t="s">
        <v>507</v>
      </c>
      <c r="N197" s="11" t="str">
        <f>Base_CRM[[#This Row],[Cidade]]&amp;"/"&amp;Base_CRM[[#This Row],[Estado]]</f>
        <v>Sao Paulo/</v>
      </c>
      <c r="O197" s="12">
        <f>IFERROR(IF(Base_CRM[[#This Row],[PL Tailor]]&gt;Base_CRM[[#This Row],[PL Declarado]],1,Base_CRM[[#This Row],[PL Tailor]]/Base_CRM[[#This Row],[PL Declarado]]),0)</f>
        <v>1</v>
      </c>
      <c r="P197" s="11" t="str">
        <f>IF(Base_CRM[[#This Row],[Estado Civil]]="","PESSOA JURÍDICA","PESSOA FÍSICA")</f>
        <v>PESSOA FÍSICA</v>
      </c>
      <c r="Q197" t="str">
        <f>_xlfn.XLOOKUP(Base_CRM[[#This Row],[Cód do Cliente]],'[1]F &amp; O'!$A:$A,'[1]F &amp; O'!$F:$F,_xlfn.XLOOKUP(Base_CRM[[#This Row],[Assessor]],[1]DePara!$A:$A,[1]DePara!$D:$D,"Outros",0,1),0,1)</f>
        <v>Raphael Farias</v>
      </c>
      <c r="R197" s="11" t="str">
        <f>_xlfn.XLOOKUP(Base_CRM[[#This Row],[Cód do Cliente]],'[1]F &amp; O'!$A:$A,'[1]F &amp; O'!D:D,"Sem Finder",0,1)</f>
        <v>Sem Finder</v>
      </c>
      <c r="S197" s="11" t="str">
        <f>_xlfn.XLOOKUP(Base_CRM[[#This Row],[Cód do Cliente]],'[1]F &amp; O'!$A:$A,'[1]F &amp; O'!E:E,"Sem Canal",0,1)</f>
        <v>Sem Canal</v>
      </c>
      <c r="T197" s="11" t="str">
        <f t="shared" si="3"/>
        <v>Cliente XP</v>
      </c>
    </row>
    <row r="198" spans="1:20" x14ac:dyDescent="0.3">
      <c r="A198">
        <v>18877818</v>
      </c>
      <c r="B198" s="8" t="s">
        <v>508</v>
      </c>
      <c r="C198" s="9" t="s">
        <v>21</v>
      </c>
      <c r="D198" s="8">
        <v>0</v>
      </c>
      <c r="E198">
        <v>300</v>
      </c>
      <c r="G198" t="s">
        <v>145</v>
      </c>
      <c r="H198" s="10">
        <v>33140</v>
      </c>
      <c r="I198" s="10" t="s">
        <v>24</v>
      </c>
      <c r="K198" t="s">
        <v>25</v>
      </c>
      <c r="L198" t="s">
        <v>509</v>
      </c>
      <c r="N198" s="11" t="str">
        <f>Base_CRM[[#This Row],[Cidade]]&amp;"/"&amp;Base_CRM[[#This Row],[Estado]]</f>
        <v>RIO DE JANEIRO/</v>
      </c>
      <c r="O198" s="12">
        <f>IFERROR(IF(Base_CRM[[#This Row],[PL Tailor]]&gt;Base_CRM[[#This Row],[PL Declarado]],1,Base_CRM[[#This Row],[PL Tailor]]/Base_CRM[[#This Row],[PL Declarado]]),0)</f>
        <v>0</v>
      </c>
      <c r="P198" s="11" t="str">
        <f>IF(Base_CRM[[#This Row],[Estado Civil]]="","PESSOA JURÍDICA","PESSOA FÍSICA")</f>
        <v>PESSOA FÍSICA</v>
      </c>
      <c r="Q198" t="str">
        <f>_xlfn.XLOOKUP(Base_CRM[[#This Row],[Cód do Cliente]],'[1]F &amp; O'!$A:$A,'[1]F &amp; O'!$F:$F,_xlfn.XLOOKUP(Base_CRM[[#This Row],[Assessor]],[1]DePara!$A:$A,[1]DePara!$D:$D,"Outros",0,1),0,1)</f>
        <v>Leonardo Burle</v>
      </c>
      <c r="R198" s="11" t="str">
        <f>_xlfn.XLOOKUP(Base_CRM[[#This Row],[Cód do Cliente]],'[1]F &amp; O'!$A:$A,'[1]F &amp; O'!D:D,"Sem Finder",0,1)</f>
        <v>Sem Finder</v>
      </c>
      <c r="S198" s="11" t="str">
        <f>_xlfn.XLOOKUP(Base_CRM[[#This Row],[Cód do Cliente]],'[1]F &amp; O'!$A:$A,'[1]F &amp; O'!E:E,"Sem Canal",0,1)</f>
        <v>Sem Canal</v>
      </c>
      <c r="T198" s="11" t="str">
        <f t="shared" si="3"/>
        <v>Cliente XP</v>
      </c>
    </row>
    <row r="199" spans="1:20" x14ac:dyDescent="0.3">
      <c r="A199">
        <v>18890626</v>
      </c>
      <c r="B199" s="8" t="s">
        <v>510</v>
      </c>
      <c r="C199" s="9" t="s">
        <v>74</v>
      </c>
      <c r="D199" s="8">
        <v>102429.33</v>
      </c>
      <c r="E199">
        <v>100000</v>
      </c>
      <c r="F199" t="s">
        <v>92</v>
      </c>
      <c r="G199" t="s">
        <v>35</v>
      </c>
      <c r="H199" s="10">
        <v>24573</v>
      </c>
      <c r="I199" s="10" t="s">
        <v>24</v>
      </c>
      <c r="K199" t="s">
        <v>25</v>
      </c>
      <c r="L199" t="s">
        <v>511</v>
      </c>
      <c r="N199" s="11" t="str">
        <f>Base_CRM[[#This Row],[Cidade]]&amp;"/"&amp;Base_CRM[[#This Row],[Estado]]</f>
        <v>RIO DE JANEIRO/</v>
      </c>
      <c r="O199" s="12">
        <f>IFERROR(IF(Base_CRM[[#This Row],[PL Tailor]]&gt;Base_CRM[[#This Row],[PL Declarado]],1,Base_CRM[[#This Row],[PL Tailor]]/Base_CRM[[#This Row],[PL Declarado]]),0)</f>
        <v>1</v>
      </c>
      <c r="P199" s="11" t="str">
        <f>IF(Base_CRM[[#This Row],[Estado Civil]]="","PESSOA JURÍDICA","PESSOA FÍSICA")</f>
        <v>PESSOA FÍSICA</v>
      </c>
      <c r="Q199" t="str">
        <f>_xlfn.XLOOKUP(Base_CRM[[#This Row],[Cód do Cliente]],'[1]F &amp; O'!$A:$A,'[1]F &amp; O'!$F:$F,_xlfn.XLOOKUP(Base_CRM[[#This Row],[Assessor]],[1]DePara!$A:$A,[1]DePara!$D:$D,"Outros",0,1),0,1)</f>
        <v>Thayane Freitas</v>
      </c>
      <c r="R199" s="11" t="str">
        <f>_xlfn.XLOOKUP(Base_CRM[[#This Row],[Cód do Cliente]],'[1]F &amp; O'!$A:$A,'[1]F &amp; O'!D:D,"Sem Finder",0,1)</f>
        <v>Sem Finder</v>
      </c>
      <c r="S199" s="11" t="str">
        <f>_xlfn.XLOOKUP(Base_CRM[[#This Row],[Cód do Cliente]],'[1]F &amp; O'!$A:$A,'[1]F &amp; O'!E:E,"Sem Canal",0,1)</f>
        <v>Sem Canal</v>
      </c>
      <c r="T199" s="11" t="str">
        <f t="shared" si="3"/>
        <v>Cliente XP</v>
      </c>
    </row>
    <row r="200" spans="1:20" x14ac:dyDescent="0.3">
      <c r="A200">
        <v>18892558</v>
      </c>
      <c r="B200" s="8" t="s">
        <v>512</v>
      </c>
      <c r="C200" s="9" t="s">
        <v>74</v>
      </c>
      <c r="D200" s="8">
        <v>363.95</v>
      </c>
      <c r="E200">
        <v>1</v>
      </c>
      <c r="F200" t="s">
        <v>22</v>
      </c>
      <c r="G200" t="s">
        <v>45</v>
      </c>
      <c r="H200" s="10">
        <v>45744</v>
      </c>
      <c r="I200" s="10" t="s">
        <v>513</v>
      </c>
      <c r="K200" t="s">
        <v>25</v>
      </c>
      <c r="L200" t="s">
        <v>514</v>
      </c>
      <c r="N200" s="11" t="str">
        <f>Base_CRM[[#This Row],[Cidade]]&amp;"/"&amp;Base_CRM[[#This Row],[Estado]]</f>
        <v>ARACAJU/</v>
      </c>
      <c r="O200" s="12">
        <f>IFERROR(IF(Base_CRM[[#This Row],[PL Tailor]]&gt;Base_CRM[[#This Row],[PL Declarado]],1,Base_CRM[[#This Row],[PL Tailor]]/Base_CRM[[#This Row],[PL Declarado]]),0)</f>
        <v>1</v>
      </c>
      <c r="P200" s="11" t="str">
        <f>IF(Base_CRM[[#This Row],[Estado Civil]]="","PESSOA JURÍDICA","PESSOA FÍSICA")</f>
        <v>PESSOA FÍSICA</v>
      </c>
      <c r="Q200" t="str">
        <f>_xlfn.XLOOKUP(Base_CRM[[#This Row],[Cód do Cliente]],'[1]F &amp; O'!$A:$A,'[1]F &amp; O'!$F:$F,_xlfn.XLOOKUP(Base_CRM[[#This Row],[Assessor]],[1]DePara!$A:$A,[1]DePara!$D:$D,"Outros",0,1),0,1)</f>
        <v>Thayane Freitas</v>
      </c>
      <c r="R200" s="11" t="str">
        <f>_xlfn.XLOOKUP(Base_CRM[[#This Row],[Cód do Cliente]],'[1]F &amp; O'!$A:$A,'[1]F &amp; O'!D:D,"Sem Finder",0,1)</f>
        <v>Sem Finder</v>
      </c>
      <c r="S200" s="11" t="str">
        <f>_xlfn.XLOOKUP(Base_CRM[[#This Row],[Cód do Cliente]],'[1]F &amp; O'!$A:$A,'[1]F &amp; O'!E:E,"Sem Canal",0,1)</f>
        <v>Sem Canal</v>
      </c>
      <c r="T200" s="11" t="str">
        <f t="shared" si="3"/>
        <v>Cliente XP</v>
      </c>
    </row>
    <row r="201" spans="1:20" x14ac:dyDescent="0.3">
      <c r="A201">
        <v>18995486</v>
      </c>
      <c r="B201" s="8" t="s">
        <v>515</v>
      </c>
      <c r="C201" s="9" t="s">
        <v>39</v>
      </c>
      <c r="D201" s="8">
        <v>1000</v>
      </c>
      <c r="E201">
        <v>1</v>
      </c>
      <c r="G201" t="s">
        <v>45</v>
      </c>
      <c r="H201" s="10">
        <v>39492</v>
      </c>
      <c r="I201" s="10" t="s">
        <v>506</v>
      </c>
      <c r="K201" t="s">
        <v>25</v>
      </c>
      <c r="L201" t="s">
        <v>516</v>
      </c>
      <c r="N201" s="11" t="str">
        <f>Base_CRM[[#This Row],[Cidade]]&amp;"/"&amp;Base_CRM[[#This Row],[Estado]]</f>
        <v>Sao Paulo/</v>
      </c>
      <c r="O201" s="12">
        <f>IFERROR(IF(Base_CRM[[#This Row],[PL Tailor]]&gt;Base_CRM[[#This Row],[PL Declarado]],1,Base_CRM[[#This Row],[PL Tailor]]/Base_CRM[[#This Row],[PL Declarado]]),0)</f>
        <v>1</v>
      </c>
      <c r="P201" s="11" t="str">
        <f>IF(Base_CRM[[#This Row],[Estado Civil]]="","PESSOA JURÍDICA","PESSOA FÍSICA")</f>
        <v>PESSOA FÍSICA</v>
      </c>
      <c r="Q201" t="str">
        <f>_xlfn.XLOOKUP(Base_CRM[[#This Row],[Cód do Cliente]],'[1]F &amp; O'!$A:$A,'[1]F &amp; O'!$F:$F,_xlfn.XLOOKUP(Base_CRM[[#This Row],[Assessor]],[1]DePara!$A:$A,[1]DePara!$D:$D,"Outros",0,1),0,1)</f>
        <v>Vinicius Bendela</v>
      </c>
      <c r="R201" s="11" t="str">
        <f>_xlfn.XLOOKUP(Base_CRM[[#This Row],[Cód do Cliente]],'[1]F &amp; O'!$A:$A,'[1]F &amp; O'!D:D,"Sem Finder",0,1)</f>
        <v>Sem Finder</v>
      </c>
      <c r="S201" s="11" t="str">
        <f>_xlfn.XLOOKUP(Base_CRM[[#This Row],[Cód do Cliente]],'[1]F &amp; O'!$A:$A,'[1]F &amp; O'!E:E,"Sem Canal",0,1)</f>
        <v>Sem Canal</v>
      </c>
      <c r="T201" s="11" t="str">
        <f t="shared" si="3"/>
        <v>Cliente XP</v>
      </c>
    </row>
    <row r="202" spans="1:20" x14ac:dyDescent="0.3">
      <c r="A202">
        <v>19058638</v>
      </c>
      <c r="B202" s="8" t="s">
        <v>517</v>
      </c>
      <c r="C202" s="9" t="s">
        <v>39</v>
      </c>
      <c r="D202" s="8">
        <v>3600</v>
      </c>
      <c r="E202">
        <v>1</v>
      </c>
      <c r="F202" t="s">
        <v>29</v>
      </c>
      <c r="G202" t="s">
        <v>45</v>
      </c>
      <c r="H202" s="10">
        <v>45394</v>
      </c>
      <c r="I202" s="10" t="s">
        <v>506</v>
      </c>
      <c r="K202" t="s">
        <v>25</v>
      </c>
      <c r="L202" t="s">
        <v>518</v>
      </c>
      <c r="N202" s="11" t="str">
        <f>Base_CRM[[#This Row],[Cidade]]&amp;"/"&amp;Base_CRM[[#This Row],[Estado]]</f>
        <v>Sao Paulo/</v>
      </c>
      <c r="O202" s="12">
        <f>IFERROR(IF(Base_CRM[[#This Row],[PL Tailor]]&gt;Base_CRM[[#This Row],[PL Declarado]],1,Base_CRM[[#This Row],[PL Tailor]]/Base_CRM[[#This Row],[PL Declarado]]),0)</f>
        <v>1</v>
      </c>
      <c r="P202" s="11" t="str">
        <f>IF(Base_CRM[[#This Row],[Estado Civil]]="","PESSOA JURÍDICA","PESSOA FÍSICA")</f>
        <v>PESSOA FÍSICA</v>
      </c>
      <c r="Q202" t="str">
        <f>_xlfn.XLOOKUP(Base_CRM[[#This Row],[Cód do Cliente]],'[1]F &amp; O'!$A:$A,'[1]F &amp; O'!$F:$F,_xlfn.XLOOKUP(Base_CRM[[#This Row],[Assessor]],[1]DePara!$A:$A,[1]DePara!$D:$D,"Outros",0,1),0,1)</f>
        <v>Vinicius Bendela</v>
      </c>
      <c r="R202" s="11" t="str">
        <f>_xlfn.XLOOKUP(Base_CRM[[#This Row],[Cód do Cliente]],'[1]F &amp; O'!$A:$A,'[1]F &amp; O'!D:D,"Sem Finder",0,1)</f>
        <v>Sem Finder</v>
      </c>
      <c r="S202" s="11" t="str">
        <f>_xlfn.XLOOKUP(Base_CRM[[#This Row],[Cód do Cliente]],'[1]F &amp; O'!$A:$A,'[1]F &amp; O'!E:E,"Sem Canal",0,1)</f>
        <v>Sem Canal</v>
      </c>
      <c r="T202" s="11" t="str">
        <f t="shared" si="3"/>
        <v>Cliente XP</v>
      </c>
    </row>
    <row r="203" spans="1:20" x14ac:dyDescent="0.3">
      <c r="A203">
        <v>19059790</v>
      </c>
      <c r="B203" s="8" t="s">
        <v>519</v>
      </c>
      <c r="C203" s="9" t="s">
        <v>74</v>
      </c>
      <c r="D203" s="8">
        <v>100248.93</v>
      </c>
      <c r="E203">
        <v>0</v>
      </c>
      <c r="F203" t="s">
        <v>29</v>
      </c>
      <c r="G203" t="s">
        <v>67</v>
      </c>
      <c r="H203" s="10">
        <v>34910</v>
      </c>
      <c r="I203" s="10" t="s">
        <v>24</v>
      </c>
      <c r="K203" t="s">
        <v>25</v>
      </c>
      <c r="L203" t="s">
        <v>520</v>
      </c>
      <c r="N203" s="11" t="str">
        <f>Base_CRM[[#This Row],[Cidade]]&amp;"/"&amp;Base_CRM[[#This Row],[Estado]]</f>
        <v>RIO DE JANEIRO/</v>
      </c>
      <c r="O203" s="12">
        <f>IFERROR(IF(Base_CRM[[#This Row],[PL Tailor]]&gt;Base_CRM[[#This Row],[PL Declarado]],1,Base_CRM[[#This Row],[PL Tailor]]/Base_CRM[[#This Row],[PL Declarado]]),0)</f>
        <v>1</v>
      </c>
      <c r="P203" s="11" t="str">
        <f>IF(Base_CRM[[#This Row],[Estado Civil]]="","PESSOA JURÍDICA","PESSOA FÍSICA")</f>
        <v>PESSOA FÍSICA</v>
      </c>
      <c r="Q203" t="str">
        <f>_xlfn.XLOOKUP(Base_CRM[[#This Row],[Cód do Cliente]],'[1]F &amp; O'!$A:$A,'[1]F &amp; O'!$F:$F,_xlfn.XLOOKUP(Base_CRM[[#This Row],[Assessor]],[1]DePara!$A:$A,[1]DePara!$D:$D,"Outros",0,1),0,1)</f>
        <v>Thayane Freitas</v>
      </c>
      <c r="R203" s="11" t="str">
        <f>_xlfn.XLOOKUP(Base_CRM[[#This Row],[Cód do Cliente]],'[1]F &amp; O'!$A:$A,'[1]F &amp; O'!D:D,"Sem Finder",0,1)</f>
        <v>Sem Finder</v>
      </c>
      <c r="S203" s="11" t="str">
        <f>_xlfn.XLOOKUP(Base_CRM[[#This Row],[Cód do Cliente]],'[1]F &amp; O'!$A:$A,'[1]F &amp; O'!E:E,"Sem Canal",0,1)</f>
        <v>Sem Canal</v>
      </c>
      <c r="T203" s="11" t="str">
        <f t="shared" si="3"/>
        <v>Cliente XP</v>
      </c>
    </row>
    <row r="204" spans="1:20" x14ac:dyDescent="0.3">
      <c r="A204">
        <v>19069614</v>
      </c>
      <c r="B204" s="8" t="s">
        <v>521</v>
      </c>
      <c r="C204" s="9" t="s">
        <v>66</v>
      </c>
      <c r="D204" s="8">
        <v>150000</v>
      </c>
      <c r="E204">
        <v>1000000</v>
      </c>
      <c r="G204" t="s">
        <v>127</v>
      </c>
      <c r="H204" s="10">
        <v>21607</v>
      </c>
      <c r="I204" s="10" t="s">
        <v>31</v>
      </c>
      <c r="K204" t="s">
        <v>25</v>
      </c>
      <c r="L204" t="s">
        <v>522</v>
      </c>
      <c r="N204" s="11" t="str">
        <f>Base_CRM[[#This Row],[Cidade]]&amp;"/"&amp;Base_CRM[[#This Row],[Estado]]</f>
        <v>SAO PAULO/</v>
      </c>
      <c r="O204" s="12">
        <f>IFERROR(IF(Base_CRM[[#This Row],[PL Tailor]]&gt;Base_CRM[[#This Row],[PL Declarado]],1,Base_CRM[[#This Row],[PL Tailor]]/Base_CRM[[#This Row],[PL Declarado]]),0)</f>
        <v>0.15</v>
      </c>
      <c r="P204" s="11" t="str">
        <f>IF(Base_CRM[[#This Row],[Estado Civil]]="","PESSOA JURÍDICA","PESSOA FÍSICA")</f>
        <v>PESSOA FÍSICA</v>
      </c>
      <c r="Q204" t="str">
        <f>_xlfn.XLOOKUP(Base_CRM[[#This Row],[Cód do Cliente]],'[1]F &amp; O'!$A:$A,'[1]F &amp; O'!$F:$F,_xlfn.XLOOKUP(Base_CRM[[#This Row],[Assessor]],[1]DePara!$A:$A,[1]DePara!$D:$D,"Outros",0,1),0,1)</f>
        <v>Caroline Vlavianos</v>
      </c>
      <c r="R204" s="11" t="str">
        <f>_xlfn.XLOOKUP(Base_CRM[[#This Row],[Cód do Cliente]],'[1]F &amp; O'!$A:$A,'[1]F &amp; O'!D:D,"Sem Finder",0,1)</f>
        <v>Sem Finder</v>
      </c>
      <c r="S204" s="11" t="str">
        <f>_xlfn.XLOOKUP(Base_CRM[[#This Row],[Cód do Cliente]],'[1]F &amp; O'!$A:$A,'[1]F &amp; O'!E:E,"Sem Canal",0,1)</f>
        <v>Sem Canal</v>
      </c>
      <c r="T204" s="11" t="str">
        <f t="shared" si="3"/>
        <v>Cliente XP</v>
      </c>
    </row>
    <row r="205" spans="1:20" x14ac:dyDescent="0.3">
      <c r="A205">
        <v>19170085</v>
      </c>
      <c r="B205" s="8" t="s">
        <v>523</v>
      </c>
      <c r="C205" s="9" t="s">
        <v>66</v>
      </c>
      <c r="D205" s="8">
        <v>0</v>
      </c>
      <c r="E205">
        <v>5000</v>
      </c>
      <c r="G205" t="s">
        <v>45</v>
      </c>
      <c r="H205" s="10">
        <v>40702</v>
      </c>
      <c r="I205" s="10" t="s">
        <v>379</v>
      </c>
      <c r="K205" t="s">
        <v>25</v>
      </c>
      <c r="L205" t="s">
        <v>524</v>
      </c>
      <c r="N205" s="11" t="str">
        <f>Base_CRM[[#This Row],[Cidade]]&amp;"/"&amp;Base_CRM[[#This Row],[Estado]]</f>
        <v>Barueri/</v>
      </c>
      <c r="O205" s="12">
        <f>IFERROR(IF(Base_CRM[[#This Row],[PL Tailor]]&gt;Base_CRM[[#This Row],[PL Declarado]],1,Base_CRM[[#This Row],[PL Tailor]]/Base_CRM[[#This Row],[PL Declarado]]),0)</f>
        <v>0</v>
      </c>
      <c r="P205" s="11" t="str">
        <f>IF(Base_CRM[[#This Row],[Estado Civil]]="","PESSOA JURÍDICA","PESSOA FÍSICA")</f>
        <v>PESSOA FÍSICA</v>
      </c>
      <c r="Q205" t="str">
        <f>_xlfn.XLOOKUP(Base_CRM[[#This Row],[Cód do Cliente]],'[1]F &amp; O'!$A:$A,'[1]F &amp; O'!$F:$F,_xlfn.XLOOKUP(Base_CRM[[#This Row],[Assessor]],[1]DePara!$A:$A,[1]DePara!$D:$D,"Outros",0,1),0,1)</f>
        <v>Caroline Vlavianos</v>
      </c>
      <c r="R205" s="11" t="str">
        <f>_xlfn.XLOOKUP(Base_CRM[[#This Row],[Cód do Cliente]],'[1]F &amp; O'!$A:$A,'[1]F &amp; O'!D:D,"Sem Finder",0,1)</f>
        <v>Sem Finder</v>
      </c>
      <c r="S205" s="11" t="str">
        <f>_xlfn.XLOOKUP(Base_CRM[[#This Row],[Cód do Cliente]],'[1]F &amp; O'!$A:$A,'[1]F &amp; O'!E:E,"Sem Canal",0,1)</f>
        <v>Sem Canal</v>
      </c>
      <c r="T205" s="11" t="str">
        <f t="shared" si="3"/>
        <v>Cliente XP</v>
      </c>
    </row>
    <row r="206" spans="1:20" x14ac:dyDescent="0.3">
      <c r="A206">
        <v>2015938</v>
      </c>
      <c r="B206" s="8" t="s">
        <v>525</v>
      </c>
      <c r="C206" s="9" t="s">
        <v>103</v>
      </c>
      <c r="D206" s="8">
        <v>367465.33</v>
      </c>
      <c r="E206">
        <v>1050000</v>
      </c>
      <c r="F206" t="s">
        <v>22</v>
      </c>
      <c r="G206" t="s">
        <v>87</v>
      </c>
      <c r="H206" s="10">
        <v>34081</v>
      </c>
      <c r="I206" s="10" t="s">
        <v>62</v>
      </c>
      <c r="K206" t="s">
        <v>42</v>
      </c>
      <c r="L206" t="s">
        <v>526</v>
      </c>
      <c r="N206" s="11" t="str">
        <f>Base_CRM[[#This Row],[Cidade]]&amp;"/"&amp;Base_CRM[[#This Row],[Estado]]</f>
        <v>Rio de Janeiro/</v>
      </c>
      <c r="O206" s="12">
        <f>IFERROR(IF(Base_CRM[[#This Row],[PL Tailor]]&gt;Base_CRM[[#This Row],[PL Declarado]],1,Base_CRM[[#This Row],[PL Tailor]]/Base_CRM[[#This Row],[PL Declarado]]),0)</f>
        <v>0.34996698095238099</v>
      </c>
      <c r="P206" s="11" t="str">
        <f>IF(Base_CRM[[#This Row],[Estado Civil]]="","PESSOA JURÍDICA","PESSOA FÍSICA")</f>
        <v>PESSOA FÍSICA</v>
      </c>
      <c r="Q206" t="str">
        <f>_xlfn.XLOOKUP(Base_CRM[[#This Row],[Cód do Cliente]],'[1]F &amp; O'!$A:$A,'[1]F &amp; O'!$F:$F,_xlfn.XLOOKUP(Base_CRM[[#This Row],[Assessor]],[1]DePara!$A:$A,[1]DePara!$D:$D,"Outros",0,1),0,1)</f>
        <v>Raphael Pereira</v>
      </c>
      <c r="R206" s="11" t="str">
        <f>_xlfn.XLOOKUP(Base_CRM[[#This Row],[Cód do Cliente]],'[1]F &amp; O'!$A:$A,'[1]F &amp; O'!D:D,"Sem Finder",0,1)</f>
        <v>Sem Finder</v>
      </c>
      <c r="S206" s="11" t="str">
        <f>_xlfn.XLOOKUP(Base_CRM[[#This Row],[Cód do Cliente]],'[1]F &amp; O'!$A:$A,'[1]F &amp; O'!E:E,"Sem Canal",0,1)</f>
        <v>Sem Canal</v>
      </c>
      <c r="T206" s="11" t="str">
        <f t="shared" si="3"/>
        <v>Cliente XP</v>
      </c>
    </row>
    <row r="207" spans="1:20" x14ac:dyDescent="0.3">
      <c r="A207">
        <v>2031483</v>
      </c>
      <c r="B207" s="8" t="s">
        <v>527</v>
      </c>
      <c r="C207" s="9" t="s">
        <v>39</v>
      </c>
      <c r="D207" s="8">
        <v>406828.59</v>
      </c>
      <c r="E207">
        <v>180000</v>
      </c>
      <c r="F207" t="s">
        <v>22</v>
      </c>
      <c r="G207" t="s">
        <v>207</v>
      </c>
      <c r="H207" s="10">
        <v>32121</v>
      </c>
      <c r="I207" s="10" t="s">
        <v>31</v>
      </c>
      <c r="K207" t="s">
        <v>25</v>
      </c>
      <c r="L207" t="s">
        <v>528</v>
      </c>
      <c r="N207" s="11" t="str">
        <f>Base_CRM[[#This Row],[Cidade]]&amp;"/"&amp;Base_CRM[[#This Row],[Estado]]</f>
        <v>SAO PAULO/</v>
      </c>
      <c r="O207" s="12">
        <f>IFERROR(IF(Base_CRM[[#This Row],[PL Tailor]]&gt;Base_CRM[[#This Row],[PL Declarado]],1,Base_CRM[[#This Row],[PL Tailor]]/Base_CRM[[#This Row],[PL Declarado]]),0)</f>
        <v>1</v>
      </c>
      <c r="P207" s="11" t="str">
        <f>IF(Base_CRM[[#This Row],[Estado Civil]]="","PESSOA JURÍDICA","PESSOA FÍSICA")</f>
        <v>PESSOA FÍSICA</v>
      </c>
      <c r="Q207" t="str">
        <f>_xlfn.XLOOKUP(Base_CRM[[#This Row],[Cód do Cliente]],'[1]F &amp; O'!$A:$A,'[1]F &amp; O'!$F:$F,_xlfn.XLOOKUP(Base_CRM[[#This Row],[Assessor]],[1]DePara!$A:$A,[1]DePara!$D:$D,"Outros",0,1),0,1)</f>
        <v>Gestora</v>
      </c>
      <c r="R207" s="11" t="str">
        <f>_xlfn.XLOOKUP(Base_CRM[[#This Row],[Cód do Cliente]],'[1]F &amp; O'!$A:$A,'[1]F &amp; O'!D:D,"Sem Finder",0,1)</f>
        <v>Sem Finder</v>
      </c>
      <c r="S207" s="11" t="str">
        <f>_xlfn.XLOOKUP(Base_CRM[[#This Row],[Cód do Cliente]],'[1]F &amp; O'!$A:$A,'[1]F &amp; O'!E:E,"Sem Canal",0,1)</f>
        <v>Gestora</v>
      </c>
      <c r="T207" s="11" t="str">
        <f t="shared" si="3"/>
        <v>Cliente XP</v>
      </c>
    </row>
    <row r="208" spans="1:20" x14ac:dyDescent="0.3">
      <c r="A208">
        <v>2034783</v>
      </c>
      <c r="B208" s="8" t="s">
        <v>529</v>
      </c>
      <c r="C208" s="9" t="s">
        <v>34</v>
      </c>
      <c r="D208" s="8">
        <v>172599.41</v>
      </c>
      <c r="E208">
        <v>5000000</v>
      </c>
      <c r="F208" t="s">
        <v>92</v>
      </c>
      <c r="G208" t="s">
        <v>87</v>
      </c>
      <c r="H208" s="10">
        <v>26489</v>
      </c>
      <c r="I208" s="10" t="s">
        <v>285</v>
      </c>
      <c r="K208" t="s">
        <v>42</v>
      </c>
      <c r="L208" t="s">
        <v>530</v>
      </c>
      <c r="N208" s="11" t="str">
        <f>Base_CRM[[#This Row],[Cidade]]&amp;"/"&amp;Base_CRM[[#This Row],[Estado]]</f>
        <v>SANTANA DE PARNAIBA/</v>
      </c>
      <c r="O208" s="12">
        <f>IFERROR(IF(Base_CRM[[#This Row],[PL Tailor]]&gt;Base_CRM[[#This Row],[PL Declarado]],1,Base_CRM[[#This Row],[PL Tailor]]/Base_CRM[[#This Row],[PL Declarado]]),0)</f>
        <v>3.4519882000000002E-2</v>
      </c>
      <c r="P208" s="11" t="str">
        <f>IF(Base_CRM[[#This Row],[Estado Civil]]="","PESSOA JURÍDICA","PESSOA FÍSICA")</f>
        <v>PESSOA FÍSICA</v>
      </c>
      <c r="Q208" t="str">
        <f>_xlfn.XLOOKUP(Base_CRM[[#This Row],[Cód do Cliente]],'[1]F &amp; O'!$A:$A,'[1]F &amp; O'!$F:$F,_xlfn.XLOOKUP(Base_CRM[[#This Row],[Assessor]],[1]DePara!$A:$A,[1]DePara!$D:$D,"Outros",0,1),0,1)</f>
        <v>Adonias Noronha</v>
      </c>
      <c r="R208" s="11" t="str">
        <f>_xlfn.XLOOKUP(Base_CRM[[#This Row],[Cód do Cliente]],'[1]F &amp; O'!$A:$A,'[1]F &amp; O'!D:D,"Sem Finder",0,1)</f>
        <v>Sem Finder</v>
      </c>
      <c r="S208" s="11" t="str">
        <f>_xlfn.XLOOKUP(Base_CRM[[#This Row],[Cód do Cliente]],'[1]F &amp; O'!$A:$A,'[1]F &amp; O'!E:E,"Sem Canal",0,1)</f>
        <v>Sem Canal</v>
      </c>
      <c r="T208" s="11" t="str">
        <f t="shared" si="3"/>
        <v>Cliente XP</v>
      </c>
    </row>
    <row r="209" spans="1:20" x14ac:dyDescent="0.3">
      <c r="A209">
        <v>2036321</v>
      </c>
      <c r="B209" s="8" t="s">
        <v>531</v>
      </c>
      <c r="C209" s="9" t="s">
        <v>74</v>
      </c>
      <c r="D209" s="8">
        <v>197318.75</v>
      </c>
      <c r="E209">
        <v>330000</v>
      </c>
      <c r="F209" t="s">
        <v>22</v>
      </c>
      <c r="G209" t="s">
        <v>35</v>
      </c>
      <c r="H209" s="10">
        <v>20033</v>
      </c>
      <c r="I209" s="10" t="s">
        <v>189</v>
      </c>
      <c r="K209" t="s">
        <v>88</v>
      </c>
      <c r="L209" t="s">
        <v>532</v>
      </c>
      <c r="M209" t="s">
        <v>77</v>
      </c>
      <c r="N209" s="11" t="str">
        <f>Base_CRM[[#This Row],[Cidade]]&amp;"/"&amp;Base_CRM[[#This Row],[Estado]]</f>
        <v>SOROCABA/</v>
      </c>
      <c r="O209" s="12">
        <f>IFERROR(IF(Base_CRM[[#This Row],[PL Tailor]]&gt;Base_CRM[[#This Row],[PL Declarado]],1,Base_CRM[[#This Row],[PL Tailor]]/Base_CRM[[#This Row],[PL Declarado]]),0)</f>
        <v>0.59793560606060603</v>
      </c>
      <c r="P209" s="11" t="str">
        <f>IF(Base_CRM[[#This Row],[Estado Civil]]="","PESSOA JURÍDICA","PESSOA FÍSICA")</f>
        <v>PESSOA FÍSICA</v>
      </c>
      <c r="Q209" t="str">
        <f>_xlfn.XLOOKUP(Base_CRM[[#This Row],[Cód do Cliente]],'[1]F &amp; O'!$A:$A,'[1]F &amp; O'!$F:$F,_xlfn.XLOOKUP(Base_CRM[[#This Row],[Assessor]],[1]DePara!$A:$A,[1]DePara!$D:$D,"Outros",0,1),0,1)</f>
        <v>Thayane Freitas</v>
      </c>
      <c r="R209" s="11" t="str">
        <f>_xlfn.XLOOKUP(Base_CRM[[#This Row],[Cód do Cliente]],'[1]F &amp; O'!$A:$A,'[1]F &amp; O'!D:D,"Sem Finder",0,1)</f>
        <v>Sem Finder</v>
      </c>
      <c r="S209" s="11" t="str">
        <f>_xlfn.XLOOKUP(Base_CRM[[#This Row],[Cód do Cliente]],'[1]F &amp; O'!$A:$A,'[1]F &amp; O'!E:E,"Sem Canal",0,1)</f>
        <v>Sem Canal</v>
      </c>
      <c r="T209" s="11" t="str">
        <f t="shared" si="3"/>
        <v>Cliente XP</v>
      </c>
    </row>
    <row r="210" spans="1:20" x14ac:dyDescent="0.3">
      <c r="A210">
        <v>2042829</v>
      </c>
      <c r="B210" s="8" t="s">
        <v>533</v>
      </c>
      <c r="C210" s="9" t="s">
        <v>74</v>
      </c>
      <c r="D210" s="8">
        <v>137791.43</v>
      </c>
      <c r="E210">
        <v>1000000</v>
      </c>
      <c r="F210" t="s">
        <v>22</v>
      </c>
      <c r="G210" t="s">
        <v>87</v>
      </c>
      <c r="H210" s="10">
        <v>32263</v>
      </c>
      <c r="I210" s="10" t="s">
        <v>189</v>
      </c>
      <c r="K210" t="s">
        <v>25</v>
      </c>
      <c r="L210" t="s">
        <v>534</v>
      </c>
      <c r="M210" t="s">
        <v>90</v>
      </c>
      <c r="N210" s="11" t="str">
        <f>Base_CRM[[#This Row],[Cidade]]&amp;"/"&amp;Base_CRM[[#This Row],[Estado]]</f>
        <v>SOROCABA/</v>
      </c>
      <c r="O210" s="12">
        <f>IFERROR(IF(Base_CRM[[#This Row],[PL Tailor]]&gt;Base_CRM[[#This Row],[PL Declarado]],1,Base_CRM[[#This Row],[PL Tailor]]/Base_CRM[[#This Row],[PL Declarado]]),0)</f>
        <v>0.13779142999999999</v>
      </c>
      <c r="P210" s="11" t="str">
        <f>IF(Base_CRM[[#This Row],[Estado Civil]]="","PESSOA JURÍDICA","PESSOA FÍSICA")</f>
        <v>PESSOA FÍSICA</v>
      </c>
      <c r="Q210" t="str">
        <f>_xlfn.XLOOKUP(Base_CRM[[#This Row],[Cód do Cliente]],'[1]F &amp; O'!$A:$A,'[1]F &amp; O'!$F:$F,_xlfn.XLOOKUP(Base_CRM[[#This Row],[Assessor]],[1]DePara!$A:$A,[1]DePara!$D:$D,"Outros",0,1),0,1)</f>
        <v>Thayane Freitas</v>
      </c>
      <c r="R210" s="11" t="str">
        <f>_xlfn.XLOOKUP(Base_CRM[[#This Row],[Cód do Cliente]],'[1]F &amp; O'!$A:$A,'[1]F &amp; O'!D:D,"Sem Finder",0,1)</f>
        <v>Sem Finder</v>
      </c>
      <c r="S210" s="11" t="str">
        <f>_xlfn.XLOOKUP(Base_CRM[[#This Row],[Cód do Cliente]],'[1]F &amp; O'!$A:$A,'[1]F &amp; O'!E:E,"Sem Canal",0,1)</f>
        <v>Sem Canal</v>
      </c>
      <c r="T210" s="11" t="str">
        <f t="shared" si="3"/>
        <v>Cliente XP</v>
      </c>
    </row>
    <row r="211" spans="1:20" x14ac:dyDescent="0.3">
      <c r="A211">
        <v>2045808</v>
      </c>
      <c r="B211" s="8" t="s">
        <v>535</v>
      </c>
      <c r="C211" s="9" t="s">
        <v>39</v>
      </c>
      <c r="D211" s="8">
        <v>1232571.3</v>
      </c>
      <c r="E211">
        <v>1000000</v>
      </c>
      <c r="F211" t="s">
        <v>22</v>
      </c>
      <c r="G211" t="s">
        <v>87</v>
      </c>
      <c r="H211" s="10">
        <v>33627</v>
      </c>
      <c r="I211" s="10" t="s">
        <v>31</v>
      </c>
      <c r="K211" t="s">
        <v>25</v>
      </c>
      <c r="L211" t="s">
        <v>536</v>
      </c>
      <c r="N211" s="11" t="str">
        <f>Base_CRM[[#This Row],[Cidade]]&amp;"/"&amp;Base_CRM[[#This Row],[Estado]]</f>
        <v>SAO PAULO/</v>
      </c>
      <c r="O211" s="12">
        <f>IFERROR(IF(Base_CRM[[#This Row],[PL Tailor]]&gt;Base_CRM[[#This Row],[PL Declarado]],1,Base_CRM[[#This Row],[PL Tailor]]/Base_CRM[[#This Row],[PL Declarado]]),0)</f>
        <v>1</v>
      </c>
      <c r="P211" s="11" t="str">
        <f>IF(Base_CRM[[#This Row],[Estado Civil]]="","PESSOA JURÍDICA","PESSOA FÍSICA")</f>
        <v>PESSOA FÍSICA</v>
      </c>
      <c r="Q211" t="str">
        <f>_xlfn.XLOOKUP(Base_CRM[[#This Row],[Cód do Cliente]],'[1]F &amp; O'!$A:$A,'[1]F &amp; O'!$F:$F,_xlfn.XLOOKUP(Base_CRM[[#This Row],[Assessor]],[1]DePara!$A:$A,[1]DePara!$D:$D,"Outros",0,1),0,1)</f>
        <v>Gestora</v>
      </c>
      <c r="R211" s="11" t="str">
        <f>_xlfn.XLOOKUP(Base_CRM[[#This Row],[Cód do Cliente]],'[1]F &amp; O'!$A:$A,'[1]F &amp; O'!D:D,"Sem Finder",0,1)</f>
        <v>Pedro Chagas</v>
      </c>
      <c r="S211" s="11" t="str">
        <f>_xlfn.XLOOKUP(Base_CRM[[#This Row],[Cód do Cliente]],'[1]F &amp; O'!$A:$A,'[1]F &amp; O'!E:E,"Sem Canal",0,1)</f>
        <v>Gestora</v>
      </c>
      <c r="T211" s="11" t="str">
        <f t="shared" si="3"/>
        <v>Cliente XP</v>
      </c>
    </row>
    <row r="212" spans="1:20" x14ac:dyDescent="0.3">
      <c r="A212">
        <v>205228</v>
      </c>
      <c r="B212" s="8" t="s">
        <v>537</v>
      </c>
      <c r="C212" s="9" t="s">
        <v>34</v>
      </c>
      <c r="D212" s="8">
        <v>4288.17</v>
      </c>
      <c r="E212">
        <v>0</v>
      </c>
      <c r="F212" t="s">
        <v>29</v>
      </c>
      <c r="G212" t="s">
        <v>87</v>
      </c>
      <c r="H212" s="10">
        <v>30602</v>
      </c>
      <c r="I212" s="10" t="s">
        <v>538</v>
      </c>
      <c r="K212" t="s">
        <v>25</v>
      </c>
      <c r="L212" t="s">
        <v>539</v>
      </c>
      <c r="N212" s="11" t="str">
        <f>Base_CRM[[#This Row],[Cidade]]&amp;"/"&amp;Base_CRM[[#This Row],[Estado]]</f>
        <v>MACEIO/</v>
      </c>
      <c r="O212" s="12">
        <f>IFERROR(IF(Base_CRM[[#This Row],[PL Tailor]]&gt;Base_CRM[[#This Row],[PL Declarado]],1,Base_CRM[[#This Row],[PL Tailor]]/Base_CRM[[#This Row],[PL Declarado]]),0)</f>
        <v>1</v>
      </c>
      <c r="P212" s="11" t="str">
        <f>IF(Base_CRM[[#This Row],[Estado Civil]]="","PESSOA JURÍDICA","PESSOA FÍSICA")</f>
        <v>PESSOA FÍSICA</v>
      </c>
      <c r="Q212" t="str">
        <f>_xlfn.XLOOKUP(Base_CRM[[#This Row],[Cód do Cliente]],'[1]F &amp; O'!$A:$A,'[1]F &amp; O'!$F:$F,_xlfn.XLOOKUP(Base_CRM[[#This Row],[Assessor]],[1]DePara!$A:$A,[1]DePara!$D:$D,"Outros",0,1),0,1)</f>
        <v>Adonias Noronha</v>
      </c>
      <c r="R212" s="11" t="str">
        <f>_xlfn.XLOOKUP(Base_CRM[[#This Row],[Cód do Cliente]],'[1]F &amp; O'!$A:$A,'[1]F &amp; O'!D:D,"Sem Finder",0,1)</f>
        <v>Sem Finder</v>
      </c>
      <c r="S212" s="11" t="str">
        <f>_xlfn.XLOOKUP(Base_CRM[[#This Row],[Cód do Cliente]],'[1]F &amp; O'!$A:$A,'[1]F &amp; O'!E:E,"Sem Canal",0,1)</f>
        <v>Sem Canal</v>
      </c>
      <c r="T212" s="11" t="str">
        <f t="shared" si="3"/>
        <v>Cliente XP</v>
      </c>
    </row>
    <row r="213" spans="1:20" x14ac:dyDescent="0.3">
      <c r="A213">
        <v>2052484</v>
      </c>
      <c r="B213" s="8" t="s">
        <v>540</v>
      </c>
      <c r="C213" s="9" t="s">
        <v>74</v>
      </c>
      <c r="D213" s="8">
        <v>179696.92</v>
      </c>
      <c r="E213">
        <v>50000</v>
      </c>
      <c r="F213" t="s">
        <v>29</v>
      </c>
      <c r="G213" t="s">
        <v>71</v>
      </c>
      <c r="H213" s="10">
        <v>30343</v>
      </c>
      <c r="I213" s="10" t="s">
        <v>62</v>
      </c>
      <c r="K213" t="s">
        <v>25</v>
      </c>
      <c r="L213" t="s">
        <v>541</v>
      </c>
      <c r="N213" s="11" t="str">
        <f>Base_CRM[[#This Row],[Cidade]]&amp;"/"&amp;Base_CRM[[#This Row],[Estado]]</f>
        <v>Rio de Janeiro/</v>
      </c>
      <c r="O213" s="12">
        <f>IFERROR(IF(Base_CRM[[#This Row],[PL Tailor]]&gt;Base_CRM[[#This Row],[PL Declarado]],1,Base_CRM[[#This Row],[PL Tailor]]/Base_CRM[[#This Row],[PL Declarado]]),0)</f>
        <v>1</v>
      </c>
      <c r="P213" s="11" t="str">
        <f>IF(Base_CRM[[#This Row],[Estado Civil]]="","PESSOA JURÍDICA","PESSOA FÍSICA")</f>
        <v>PESSOA FÍSICA</v>
      </c>
      <c r="Q213" t="str">
        <f>_xlfn.XLOOKUP(Base_CRM[[#This Row],[Cód do Cliente]],'[1]F &amp; O'!$A:$A,'[1]F &amp; O'!$F:$F,_xlfn.XLOOKUP(Base_CRM[[#This Row],[Assessor]],[1]DePara!$A:$A,[1]DePara!$D:$D,"Outros",0,1),0,1)</f>
        <v>Thayane Freitas</v>
      </c>
      <c r="R213" s="11" t="str">
        <f>_xlfn.XLOOKUP(Base_CRM[[#This Row],[Cód do Cliente]],'[1]F &amp; O'!$A:$A,'[1]F &amp; O'!D:D,"Sem Finder",0,1)</f>
        <v>Sem Finder</v>
      </c>
      <c r="S213" s="11" t="str">
        <f>_xlfn.XLOOKUP(Base_CRM[[#This Row],[Cód do Cliente]],'[1]F &amp; O'!$A:$A,'[1]F &amp; O'!E:E,"Sem Canal",0,1)</f>
        <v>Sem Canal</v>
      </c>
      <c r="T213" s="11" t="str">
        <f t="shared" si="3"/>
        <v>Cliente XP</v>
      </c>
    </row>
    <row r="214" spans="1:20" x14ac:dyDescent="0.3">
      <c r="A214">
        <v>2055753</v>
      </c>
      <c r="B214" s="8" t="s">
        <v>542</v>
      </c>
      <c r="C214" s="9" t="s">
        <v>74</v>
      </c>
      <c r="D214" s="8">
        <v>13200.76</v>
      </c>
      <c r="E214">
        <v>100000</v>
      </c>
      <c r="F214" t="s">
        <v>22</v>
      </c>
      <c r="G214" t="s">
        <v>389</v>
      </c>
      <c r="H214" s="10">
        <v>34093</v>
      </c>
      <c r="I214" s="10" t="s">
        <v>24</v>
      </c>
      <c r="K214" t="s">
        <v>42</v>
      </c>
      <c r="L214" t="s">
        <v>543</v>
      </c>
      <c r="N214" s="11" t="str">
        <f>Base_CRM[[#This Row],[Cidade]]&amp;"/"&amp;Base_CRM[[#This Row],[Estado]]</f>
        <v>RIO DE JANEIRO/</v>
      </c>
      <c r="O214" s="12">
        <f>IFERROR(IF(Base_CRM[[#This Row],[PL Tailor]]&gt;Base_CRM[[#This Row],[PL Declarado]],1,Base_CRM[[#This Row],[PL Tailor]]/Base_CRM[[#This Row],[PL Declarado]]),0)</f>
        <v>0.1320076</v>
      </c>
      <c r="P214" s="11" t="str">
        <f>IF(Base_CRM[[#This Row],[Estado Civil]]="","PESSOA JURÍDICA","PESSOA FÍSICA")</f>
        <v>PESSOA FÍSICA</v>
      </c>
      <c r="Q214" t="str">
        <f>_xlfn.XLOOKUP(Base_CRM[[#This Row],[Cód do Cliente]],'[1]F &amp; O'!$A:$A,'[1]F &amp; O'!$F:$F,_xlfn.XLOOKUP(Base_CRM[[#This Row],[Assessor]],[1]DePara!$A:$A,[1]DePara!$D:$D,"Outros",0,1),0,1)</f>
        <v>Thayane Freitas</v>
      </c>
      <c r="R214" s="11" t="str">
        <f>_xlfn.XLOOKUP(Base_CRM[[#This Row],[Cód do Cliente]],'[1]F &amp; O'!$A:$A,'[1]F &amp; O'!D:D,"Sem Finder",0,1)</f>
        <v>Sem Finder</v>
      </c>
      <c r="S214" s="11" t="str">
        <f>_xlfn.XLOOKUP(Base_CRM[[#This Row],[Cód do Cliente]],'[1]F &amp; O'!$A:$A,'[1]F &amp; O'!E:E,"Sem Canal",0,1)</f>
        <v>Sem Canal</v>
      </c>
      <c r="T214" s="11" t="str">
        <f t="shared" si="3"/>
        <v>Cliente XP</v>
      </c>
    </row>
    <row r="215" spans="1:20" x14ac:dyDescent="0.3">
      <c r="A215">
        <v>2062524</v>
      </c>
      <c r="B215" s="8" t="s">
        <v>544</v>
      </c>
      <c r="C215" s="9" t="s">
        <v>74</v>
      </c>
      <c r="D215" s="8">
        <v>462429.37</v>
      </c>
      <c r="E215">
        <v>3800000</v>
      </c>
      <c r="F215" t="s">
        <v>22</v>
      </c>
      <c r="G215" t="s">
        <v>67</v>
      </c>
      <c r="H215" s="10">
        <v>26529</v>
      </c>
      <c r="I215" s="10" t="s">
        <v>24</v>
      </c>
      <c r="K215" t="s">
        <v>42</v>
      </c>
      <c r="L215" t="s">
        <v>545</v>
      </c>
      <c r="M215" t="s">
        <v>64</v>
      </c>
      <c r="N215" s="11" t="str">
        <f>Base_CRM[[#This Row],[Cidade]]&amp;"/"&amp;Base_CRM[[#This Row],[Estado]]</f>
        <v>RIO DE JANEIRO/</v>
      </c>
      <c r="O215" s="12">
        <f>IFERROR(IF(Base_CRM[[#This Row],[PL Tailor]]&gt;Base_CRM[[#This Row],[PL Declarado]],1,Base_CRM[[#This Row],[PL Tailor]]/Base_CRM[[#This Row],[PL Declarado]]),0)</f>
        <v>0.12169193947368422</v>
      </c>
      <c r="P215" s="11" t="str">
        <f>IF(Base_CRM[[#This Row],[Estado Civil]]="","PESSOA JURÍDICA","PESSOA FÍSICA")</f>
        <v>PESSOA FÍSICA</v>
      </c>
      <c r="Q215" t="str">
        <f>_xlfn.XLOOKUP(Base_CRM[[#This Row],[Cód do Cliente]],'[1]F &amp; O'!$A:$A,'[1]F &amp; O'!$F:$F,_xlfn.XLOOKUP(Base_CRM[[#This Row],[Assessor]],[1]DePara!$A:$A,[1]DePara!$D:$D,"Outros",0,1),0,1)</f>
        <v>Leonardo Burle</v>
      </c>
      <c r="R215" s="11" t="str">
        <f>_xlfn.XLOOKUP(Base_CRM[[#This Row],[Cód do Cliente]],'[1]F &amp; O'!$A:$A,'[1]F &amp; O'!D:D,"Sem Finder",0,1)</f>
        <v>Frederico Dantas</v>
      </c>
      <c r="S215" s="11" t="str">
        <f>_xlfn.XLOOKUP(Base_CRM[[#This Row],[Cód do Cliente]],'[1]F &amp; O'!$A:$A,'[1]F &amp; O'!E:E,"Sem Canal",0,1)</f>
        <v>Sem Canal</v>
      </c>
      <c r="T215" s="11" t="str">
        <f t="shared" si="3"/>
        <v>Cliente XP</v>
      </c>
    </row>
    <row r="216" spans="1:20" x14ac:dyDescent="0.3">
      <c r="A216">
        <v>2068357</v>
      </c>
      <c r="B216" s="8" t="s">
        <v>546</v>
      </c>
      <c r="C216" s="9" t="s">
        <v>21</v>
      </c>
      <c r="D216" s="8">
        <v>3645124.89</v>
      </c>
      <c r="E216">
        <v>1000000</v>
      </c>
      <c r="F216" t="s">
        <v>29</v>
      </c>
      <c r="G216" t="s">
        <v>96</v>
      </c>
      <c r="H216" s="10">
        <v>29733</v>
      </c>
      <c r="I216" s="10" t="s">
        <v>463</v>
      </c>
      <c r="K216" t="s">
        <v>25</v>
      </c>
      <c r="L216" t="s">
        <v>547</v>
      </c>
      <c r="M216" t="s">
        <v>64</v>
      </c>
      <c r="N216" s="11" t="str">
        <f>Base_CRM[[#This Row],[Cidade]]&amp;"/"&amp;Base_CRM[[#This Row],[Estado]]</f>
        <v>BRASILIA/</v>
      </c>
      <c r="O216" s="12">
        <f>IFERROR(IF(Base_CRM[[#This Row],[PL Tailor]]&gt;Base_CRM[[#This Row],[PL Declarado]],1,Base_CRM[[#This Row],[PL Tailor]]/Base_CRM[[#This Row],[PL Declarado]]),0)</f>
        <v>1</v>
      </c>
      <c r="P216" s="11" t="str">
        <f>IF(Base_CRM[[#This Row],[Estado Civil]]="","PESSOA JURÍDICA","PESSOA FÍSICA")</f>
        <v>PESSOA FÍSICA</v>
      </c>
      <c r="Q216" t="str">
        <f>_xlfn.XLOOKUP(Base_CRM[[#This Row],[Cód do Cliente]],'[1]F &amp; O'!$A:$A,'[1]F &amp; O'!$F:$F,_xlfn.XLOOKUP(Base_CRM[[#This Row],[Assessor]],[1]DePara!$A:$A,[1]DePara!$D:$D,"Outros",0,1),0,1)</f>
        <v>Leonardo Burle</v>
      </c>
      <c r="R216" s="11" t="str">
        <f>_xlfn.XLOOKUP(Base_CRM[[#This Row],[Cód do Cliente]],'[1]F &amp; O'!$A:$A,'[1]F &amp; O'!D:D,"Sem Finder",0,1)</f>
        <v>Sem Finder</v>
      </c>
      <c r="S216" s="11" t="str">
        <f>_xlfn.XLOOKUP(Base_CRM[[#This Row],[Cód do Cliente]],'[1]F &amp; O'!$A:$A,'[1]F &amp; O'!E:E,"Sem Canal",0,1)</f>
        <v>Sem Canal</v>
      </c>
      <c r="T216" s="11" t="str">
        <f t="shared" si="3"/>
        <v>Cliente XP</v>
      </c>
    </row>
    <row r="217" spans="1:20" x14ac:dyDescent="0.3">
      <c r="A217">
        <v>207503</v>
      </c>
      <c r="B217" s="8" t="s">
        <v>548</v>
      </c>
      <c r="C217" s="9" t="s">
        <v>21</v>
      </c>
      <c r="D217" s="8">
        <v>0</v>
      </c>
      <c r="E217">
        <v>52000</v>
      </c>
      <c r="F217" t="s">
        <v>29</v>
      </c>
      <c r="G217" t="s">
        <v>71</v>
      </c>
      <c r="H217" s="10">
        <v>29494</v>
      </c>
      <c r="I217" s="10" t="s">
        <v>24</v>
      </c>
      <c r="K217" t="s">
        <v>25</v>
      </c>
      <c r="L217" t="s">
        <v>549</v>
      </c>
      <c r="N217" s="11" t="str">
        <f>Base_CRM[[#This Row],[Cidade]]&amp;"/"&amp;Base_CRM[[#This Row],[Estado]]</f>
        <v>RIO DE JANEIRO/</v>
      </c>
      <c r="O217" s="12">
        <f>IFERROR(IF(Base_CRM[[#This Row],[PL Tailor]]&gt;Base_CRM[[#This Row],[PL Declarado]],1,Base_CRM[[#This Row],[PL Tailor]]/Base_CRM[[#This Row],[PL Declarado]]),0)</f>
        <v>0</v>
      </c>
      <c r="P217" s="11" t="str">
        <f>IF(Base_CRM[[#This Row],[Estado Civil]]="","PESSOA JURÍDICA","PESSOA FÍSICA")</f>
        <v>PESSOA FÍSICA</v>
      </c>
      <c r="Q217" t="str">
        <f>_xlfn.XLOOKUP(Base_CRM[[#This Row],[Cód do Cliente]],'[1]F &amp; O'!$A:$A,'[1]F &amp; O'!$F:$F,_xlfn.XLOOKUP(Base_CRM[[#This Row],[Assessor]],[1]DePara!$A:$A,[1]DePara!$D:$D,"Outros",0,1),0,1)</f>
        <v>Leonardo Burle</v>
      </c>
      <c r="R217" s="11" t="str">
        <f>_xlfn.XLOOKUP(Base_CRM[[#This Row],[Cód do Cliente]],'[1]F &amp; O'!$A:$A,'[1]F &amp; O'!D:D,"Sem Finder",0,1)</f>
        <v>Sem Finder</v>
      </c>
      <c r="S217" s="11" t="str">
        <f>_xlfn.XLOOKUP(Base_CRM[[#This Row],[Cód do Cliente]],'[1]F &amp; O'!$A:$A,'[1]F &amp; O'!E:E,"Sem Canal",0,1)</f>
        <v>Sem Canal</v>
      </c>
      <c r="T217" s="11" t="str">
        <f t="shared" si="3"/>
        <v>Cliente XP</v>
      </c>
    </row>
    <row r="218" spans="1:20" x14ac:dyDescent="0.3">
      <c r="A218">
        <v>2082493</v>
      </c>
      <c r="B218" s="8" t="s">
        <v>550</v>
      </c>
      <c r="C218" s="9" t="s">
        <v>48</v>
      </c>
      <c r="D218" s="8">
        <v>0</v>
      </c>
      <c r="E218">
        <v>1000000</v>
      </c>
      <c r="F218" t="s">
        <v>92</v>
      </c>
      <c r="G218" t="s">
        <v>551</v>
      </c>
      <c r="H218" s="10">
        <v>23050</v>
      </c>
      <c r="I218" s="10" t="s">
        <v>115</v>
      </c>
      <c r="K218" t="s">
        <v>250</v>
      </c>
      <c r="L218" t="s">
        <v>552</v>
      </c>
      <c r="N218" s="11" t="str">
        <f>Base_CRM[[#This Row],[Cidade]]&amp;"/"&amp;Base_CRM[[#This Row],[Estado]]</f>
        <v>BARUERI/</v>
      </c>
      <c r="O218" s="12">
        <f>IFERROR(IF(Base_CRM[[#This Row],[PL Tailor]]&gt;Base_CRM[[#This Row],[PL Declarado]],1,Base_CRM[[#This Row],[PL Tailor]]/Base_CRM[[#This Row],[PL Declarado]]),0)</f>
        <v>0</v>
      </c>
      <c r="P218" s="11" t="str">
        <f>IF(Base_CRM[[#This Row],[Estado Civil]]="","PESSOA JURÍDICA","PESSOA FÍSICA")</f>
        <v>PESSOA FÍSICA</v>
      </c>
      <c r="Q218" t="str">
        <f>_xlfn.XLOOKUP(Base_CRM[[#This Row],[Cód do Cliente]],'[1]F &amp; O'!$A:$A,'[1]F &amp; O'!$F:$F,_xlfn.XLOOKUP(Base_CRM[[#This Row],[Assessor]],[1]DePara!$A:$A,[1]DePara!$D:$D,"Outros",0,1),0,1)</f>
        <v>Raphael Farias</v>
      </c>
      <c r="R218" s="11" t="str">
        <f>_xlfn.XLOOKUP(Base_CRM[[#This Row],[Cód do Cliente]],'[1]F &amp; O'!$A:$A,'[1]F &amp; O'!D:D,"Sem Finder",0,1)</f>
        <v>José De Marchi</v>
      </c>
      <c r="S218" s="11" t="str">
        <f>_xlfn.XLOOKUP(Base_CRM[[#This Row],[Cód do Cliente]],'[1]F &amp; O'!$A:$A,'[1]F &amp; O'!E:E,"Sem Canal",0,1)</f>
        <v>Sem Canal</v>
      </c>
      <c r="T218" s="11" t="str">
        <f t="shared" si="3"/>
        <v>Cliente XP</v>
      </c>
    </row>
    <row r="219" spans="1:20" x14ac:dyDescent="0.3">
      <c r="A219">
        <v>2089667</v>
      </c>
      <c r="B219" s="8" t="s">
        <v>348</v>
      </c>
      <c r="C219" s="9" t="s">
        <v>39</v>
      </c>
      <c r="D219" s="8">
        <v>1878002.02</v>
      </c>
      <c r="E219">
        <v>1500000</v>
      </c>
      <c r="F219" t="s">
        <v>22</v>
      </c>
      <c r="G219" t="s">
        <v>87</v>
      </c>
      <c r="H219" s="10">
        <v>33466</v>
      </c>
      <c r="I219" s="10" t="s">
        <v>349</v>
      </c>
      <c r="K219" t="s">
        <v>25</v>
      </c>
      <c r="L219" t="s">
        <v>350</v>
      </c>
      <c r="N219" s="11" t="str">
        <f>Base_CRM[[#This Row],[Cidade]]&amp;"/"&amp;Base_CRM[[#This Row],[Estado]]</f>
        <v>São Paulo/</v>
      </c>
      <c r="O219" s="12">
        <f>IFERROR(IF(Base_CRM[[#This Row],[PL Tailor]]&gt;Base_CRM[[#This Row],[PL Declarado]],1,Base_CRM[[#This Row],[PL Tailor]]/Base_CRM[[#This Row],[PL Declarado]]),0)</f>
        <v>1</v>
      </c>
      <c r="P219" s="11" t="str">
        <f>IF(Base_CRM[[#This Row],[Estado Civil]]="","PESSOA JURÍDICA","PESSOA FÍSICA")</f>
        <v>PESSOA FÍSICA</v>
      </c>
      <c r="Q219" t="str">
        <f>_xlfn.XLOOKUP(Base_CRM[[#This Row],[Cód do Cliente]],'[1]F &amp; O'!$A:$A,'[1]F &amp; O'!$F:$F,_xlfn.XLOOKUP(Base_CRM[[#This Row],[Assessor]],[1]DePara!$A:$A,[1]DePara!$D:$D,"Outros",0,1),0,1)</f>
        <v>Gestora</v>
      </c>
      <c r="R219" s="11" t="str">
        <f>_xlfn.XLOOKUP(Base_CRM[[#This Row],[Cód do Cliente]],'[1]F &amp; O'!$A:$A,'[1]F &amp; O'!D:D,"Sem Finder",0,1)</f>
        <v>Pedro Chagas</v>
      </c>
      <c r="S219" s="11" t="str">
        <f>_xlfn.XLOOKUP(Base_CRM[[#This Row],[Cód do Cliente]],'[1]F &amp; O'!$A:$A,'[1]F &amp; O'!E:E,"Sem Canal",0,1)</f>
        <v>Gestora</v>
      </c>
      <c r="T219" s="11" t="str">
        <f t="shared" si="3"/>
        <v>Cliente XP</v>
      </c>
    </row>
    <row r="220" spans="1:20" x14ac:dyDescent="0.3">
      <c r="A220">
        <v>2098113</v>
      </c>
      <c r="B220" s="8" t="s">
        <v>553</v>
      </c>
      <c r="C220" s="9" t="s">
        <v>21</v>
      </c>
      <c r="D220" s="8">
        <v>80702778.980000004</v>
      </c>
      <c r="E220">
        <v>12000000</v>
      </c>
      <c r="F220" t="s">
        <v>22</v>
      </c>
      <c r="G220" t="s">
        <v>96</v>
      </c>
      <c r="H220" s="10">
        <v>32650</v>
      </c>
      <c r="I220" s="10" t="s">
        <v>62</v>
      </c>
      <c r="K220" t="s">
        <v>42</v>
      </c>
      <c r="L220" t="s">
        <v>554</v>
      </c>
      <c r="M220" t="s">
        <v>64</v>
      </c>
      <c r="N220" s="11" t="str">
        <f>Base_CRM[[#This Row],[Cidade]]&amp;"/"&amp;Base_CRM[[#This Row],[Estado]]</f>
        <v>Rio de Janeiro/</v>
      </c>
      <c r="O220" s="12">
        <f>IFERROR(IF(Base_CRM[[#This Row],[PL Tailor]]&gt;Base_CRM[[#This Row],[PL Declarado]],1,Base_CRM[[#This Row],[PL Tailor]]/Base_CRM[[#This Row],[PL Declarado]]),0)</f>
        <v>1</v>
      </c>
      <c r="P220" s="11" t="str">
        <f>IF(Base_CRM[[#This Row],[Estado Civil]]="","PESSOA JURÍDICA","PESSOA FÍSICA")</f>
        <v>PESSOA FÍSICA</v>
      </c>
      <c r="Q220" t="str">
        <f>_xlfn.XLOOKUP(Base_CRM[[#This Row],[Cód do Cliente]],'[1]F &amp; O'!$A:$A,'[1]F &amp; O'!$F:$F,_xlfn.XLOOKUP(Base_CRM[[#This Row],[Assessor]],[1]DePara!$A:$A,[1]DePara!$D:$D,"Outros",0,1),0,1)</f>
        <v>Leonardo Burle</v>
      </c>
      <c r="R220" s="11" t="str">
        <f>_xlfn.XLOOKUP(Base_CRM[[#This Row],[Cód do Cliente]],'[1]F &amp; O'!$A:$A,'[1]F &amp; O'!D:D,"Sem Finder",0,1)</f>
        <v>Sem Finder</v>
      </c>
      <c r="S220" s="11" t="str">
        <f>_xlfn.XLOOKUP(Base_CRM[[#This Row],[Cód do Cliente]],'[1]F &amp; O'!$A:$A,'[1]F &amp; O'!E:E,"Sem Canal",0,1)</f>
        <v>Sem Canal</v>
      </c>
      <c r="T220" s="11" t="str">
        <f t="shared" si="3"/>
        <v>Cliente XP</v>
      </c>
    </row>
    <row r="221" spans="1:20" x14ac:dyDescent="0.3">
      <c r="A221">
        <v>2101807</v>
      </c>
      <c r="B221" s="8" t="s">
        <v>555</v>
      </c>
      <c r="C221" s="9" t="s">
        <v>74</v>
      </c>
      <c r="D221" s="8">
        <v>28847.37</v>
      </c>
      <c r="E221">
        <v>150000</v>
      </c>
      <c r="F221" t="s">
        <v>22</v>
      </c>
      <c r="G221" t="s">
        <v>96</v>
      </c>
      <c r="H221" s="10">
        <v>28514</v>
      </c>
      <c r="I221" s="10" t="s">
        <v>31</v>
      </c>
      <c r="K221" t="s">
        <v>42</v>
      </c>
      <c r="L221" t="s">
        <v>556</v>
      </c>
      <c r="N221" s="11" t="str">
        <f>Base_CRM[[#This Row],[Cidade]]&amp;"/"&amp;Base_CRM[[#This Row],[Estado]]</f>
        <v>SAO PAULO/</v>
      </c>
      <c r="O221" s="12">
        <f>IFERROR(IF(Base_CRM[[#This Row],[PL Tailor]]&gt;Base_CRM[[#This Row],[PL Declarado]],1,Base_CRM[[#This Row],[PL Tailor]]/Base_CRM[[#This Row],[PL Declarado]]),0)</f>
        <v>0.19231579999999998</v>
      </c>
      <c r="P221" s="11" t="str">
        <f>IF(Base_CRM[[#This Row],[Estado Civil]]="","PESSOA JURÍDICA","PESSOA FÍSICA")</f>
        <v>PESSOA FÍSICA</v>
      </c>
      <c r="Q221" t="str">
        <f>_xlfn.XLOOKUP(Base_CRM[[#This Row],[Cód do Cliente]],'[1]F &amp; O'!$A:$A,'[1]F &amp; O'!$F:$F,_xlfn.XLOOKUP(Base_CRM[[#This Row],[Assessor]],[1]DePara!$A:$A,[1]DePara!$D:$D,"Outros",0,1),0,1)</f>
        <v>Thayane Freitas</v>
      </c>
      <c r="R221" s="11" t="str">
        <f>_xlfn.XLOOKUP(Base_CRM[[#This Row],[Cód do Cliente]],'[1]F &amp; O'!$A:$A,'[1]F &amp; O'!D:D,"Sem Finder",0,1)</f>
        <v>Sem Finder</v>
      </c>
      <c r="S221" s="11" t="str">
        <f>_xlfn.XLOOKUP(Base_CRM[[#This Row],[Cód do Cliente]],'[1]F &amp; O'!$A:$A,'[1]F &amp; O'!E:E,"Sem Canal",0,1)</f>
        <v>Sem Canal</v>
      </c>
      <c r="T221" s="11" t="str">
        <f t="shared" si="3"/>
        <v>Cliente XP</v>
      </c>
    </row>
    <row r="222" spans="1:20" x14ac:dyDescent="0.3">
      <c r="A222">
        <v>2107412</v>
      </c>
      <c r="B222" s="8" t="s">
        <v>557</v>
      </c>
      <c r="C222" s="9" t="s">
        <v>39</v>
      </c>
      <c r="D222" s="8">
        <v>0.02</v>
      </c>
      <c r="E222">
        <v>10000</v>
      </c>
      <c r="F222" t="s">
        <v>29</v>
      </c>
      <c r="G222" t="s">
        <v>67</v>
      </c>
      <c r="H222" s="10">
        <v>33622</v>
      </c>
      <c r="I222" s="10" t="s">
        <v>31</v>
      </c>
      <c r="K222" t="s">
        <v>25</v>
      </c>
      <c r="L222" t="s">
        <v>558</v>
      </c>
      <c r="N222" s="11" t="str">
        <f>Base_CRM[[#This Row],[Cidade]]&amp;"/"&amp;Base_CRM[[#This Row],[Estado]]</f>
        <v>SAO PAULO/</v>
      </c>
      <c r="O222" s="12">
        <f>IFERROR(IF(Base_CRM[[#This Row],[PL Tailor]]&gt;Base_CRM[[#This Row],[PL Declarado]],1,Base_CRM[[#This Row],[PL Tailor]]/Base_CRM[[#This Row],[PL Declarado]]),0)</f>
        <v>1.9999999999999999E-6</v>
      </c>
      <c r="P222" s="11" t="str">
        <f>IF(Base_CRM[[#This Row],[Estado Civil]]="","PESSOA JURÍDICA","PESSOA FÍSICA")</f>
        <v>PESSOA FÍSICA</v>
      </c>
      <c r="Q222" t="str">
        <f>_xlfn.XLOOKUP(Base_CRM[[#This Row],[Cód do Cliente]],'[1]F &amp; O'!$A:$A,'[1]F &amp; O'!$F:$F,_xlfn.XLOOKUP(Base_CRM[[#This Row],[Assessor]],[1]DePara!$A:$A,[1]DePara!$D:$D,"Outros",0,1),0,1)</f>
        <v>Gestora</v>
      </c>
      <c r="R222" s="11" t="str">
        <f>_xlfn.XLOOKUP(Base_CRM[[#This Row],[Cód do Cliente]],'[1]F &amp; O'!$A:$A,'[1]F &amp; O'!D:D,"Sem Finder",0,1)</f>
        <v>Pedro Chagas</v>
      </c>
      <c r="S222" s="11" t="str">
        <f>_xlfn.XLOOKUP(Base_CRM[[#This Row],[Cód do Cliente]],'[1]F &amp; O'!$A:$A,'[1]F &amp; O'!E:E,"Sem Canal",0,1)</f>
        <v>Gestora</v>
      </c>
      <c r="T222" s="11" t="str">
        <f t="shared" si="3"/>
        <v>Cliente XP</v>
      </c>
    </row>
    <row r="223" spans="1:20" x14ac:dyDescent="0.3">
      <c r="A223">
        <v>2110314</v>
      </c>
      <c r="B223" s="8" t="s">
        <v>559</v>
      </c>
      <c r="C223" s="9" t="s">
        <v>48</v>
      </c>
      <c r="D223" s="8">
        <v>314398.09999999998</v>
      </c>
      <c r="E223">
        <v>1000000</v>
      </c>
      <c r="F223" t="s">
        <v>22</v>
      </c>
      <c r="G223" t="s">
        <v>96</v>
      </c>
      <c r="H223" s="10">
        <v>32728</v>
      </c>
      <c r="I223" s="10" t="s">
        <v>24</v>
      </c>
      <c r="K223" t="s">
        <v>25</v>
      </c>
      <c r="L223" t="s">
        <v>560</v>
      </c>
      <c r="N223" s="11" t="str">
        <f>Base_CRM[[#This Row],[Cidade]]&amp;"/"&amp;Base_CRM[[#This Row],[Estado]]</f>
        <v>RIO DE JANEIRO/</v>
      </c>
      <c r="O223" s="12">
        <f>IFERROR(IF(Base_CRM[[#This Row],[PL Tailor]]&gt;Base_CRM[[#This Row],[PL Declarado]],1,Base_CRM[[#This Row],[PL Tailor]]/Base_CRM[[#This Row],[PL Declarado]]),0)</f>
        <v>0.31439809999999996</v>
      </c>
      <c r="P223" s="11" t="str">
        <f>IF(Base_CRM[[#This Row],[Estado Civil]]="","PESSOA JURÍDICA","PESSOA FÍSICA")</f>
        <v>PESSOA FÍSICA</v>
      </c>
      <c r="Q223" t="str">
        <f>_xlfn.XLOOKUP(Base_CRM[[#This Row],[Cód do Cliente]],'[1]F &amp; O'!$A:$A,'[1]F &amp; O'!$F:$F,_xlfn.XLOOKUP(Base_CRM[[#This Row],[Assessor]],[1]DePara!$A:$A,[1]DePara!$D:$D,"Outros",0,1),0,1)</f>
        <v>Raphael Farias</v>
      </c>
      <c r="R223" s="11" t="str">
        <f>_xlfn.XLOOKUP(Base_CRM[[#This Row],[Cód do Cliente]],'[1]F &amp; O'!$A:$A,'[1]F &amp; O'!D:D,"Sem Finder",0,1)</f>
        <v>Sem Finder</v>
      </c>
      <c r="S223" s="11" t="str">
        <f>_xlfn.XLOOKUP(Base_CRM[[#This Row],[Cód do Cliente]],'[1]F &amp; O'!$A:$A,'[1]F &amp; O'!E:E,"Sem Canal",0,1)</f>
        <v>Sem Canal</v>
      </c>
      <c r="T223" s="11" t="str">
        <f t="shared" si="3"/>
        <v>Cliente XP</v>
      </c>
    </row>
    <row r="224" spans="1:20" x14ac:dyDescent="0.3">
      <c r="A224">
        <v>2126057</v>
      </c>
      <c r="B224" s="8" t="s">
        <v>561</v>
      </c>
      <c r="C224" s="9" t="s">
        <v>39</v>
      </c>
      <c r="D224" s="8">
        <v>60133.23</v>
      </c>
      <c r="E224">
        <v>46000</v>
      </c>
      <c r="F224" t="s">
        <v>29</v>
      </c>
      <c r="G224" t="s">
        <v>87</v>
      </c>
      <c r="H224" s="10">
        <v>33186</v>
      </c>
      <c r="I224" s="10" t="s">
        <v>349</v>
      </c>
      <c r="K224" t="s">
        <v>42</v>
      </c>
      <c r="L224" t="s">
        <v>562</v>
      </c>
      <c r="N224" s="11" t="str">
        <f>Base_CRM[[#This Row],[Cidade]]&amp;"/"&amp;Base_CRM[[#This Row],[Estado]]</f>
        <v>São Paulo/</v>
      </c>
      <c r="O224" s="12">
        <f>IFERROR(IF(Base_CRM[[#This Row],[PL Tailor]]&gt;Base_CRM[[#This Row],[PL Declarado]],1,Base_CRM[[#This Row],[PL Tailor]]/Base_CRM[[#This Row],[PL Declarado]]),0)</f>
        <v>1</v>
      </c>
      <c r="P224" s="11" t="str">
        <f>IF(Base_CRM[[#This Row],[Estado Civil]]="","PESSOA JURÍDICA","PESSOA FÍSICA")</f>
        <v>PESSOA FÍSICA</v>
      </c>
      <c r="Q224" t="str">
        <f>_xlfn.XLOOKUP(Base_CRM[[#This Row],[Cód do Cliente]],'[1]F &amp; O'!$A:$A,'[1]F &amp; O'!$F:$F,_xlfn.XLOOKUP(Base_CRM[[#This Row],[Assessor]],[1]DePara!$A:$A,[1]DePara!$D:$D,"Outros",0,1),0,1)</f>
        <v>Pedro Chagas</v>
      </c>
      <c r="R224" s="11" t="str">
        <f>_xlfn.XLOOKUP(Base_CRM[[#This Row],[Cód do Cliente]],'[1]F &amp; O'!$A:$A,'[1]F &amp; O'!D:D,"Sem Finder",0,1)</f>
        <v>Pedro Chagas</v>
      </c>
      <c r="S224" s="11" t="str">
        <f>_xlfn.XLOOKUP(Base_CRM[[#This Row],[Cód do Cliente]],'[1]F &amp; O'!$A:$A,'[1]F &amp; O'!E:E,"Sem Canal",0,1)</f>
        <v>Sem Canal</v>
      </c>
      <c r="T224" s="11" t="str">
        <f t="shared" si="3"/>
        <v>Cliente XP</v>
      </c>
    </row>
    <row r="225" spans="1:20" x14ac:dyDescent="0.3">
      <c r="A225">
        <v>2132767</v>
      </c>
      <c r="B225" s="8" t="s">
        <v>563</v>
      </c>
      <c r="C225" s="9" t="s">
        <v>39</v>
      </c>
      <c r="D225" s="8">
        <v>434016.86</v>
      </c>
      <c r="E225">
        <v>1000000</v>
      </c>
      <c r="F225" t="s">
        <v>29</v>
      </c>
      <c r="G225" t="s">
        <v>23</v>
      </c>
      <c r="H225" s="10">
        <v>34526</v>
      </c>
      <c r="I225" s="10" t="s">
        <v>31</v>
      </c>
      <c r="K225" t="s">
        <v>42</v>
      </c>
      <c r="L225" t="s">
        <v>564</v>
      </c>
      <c r="N225" s="11" t="str">
        <f>Base_CRM[[#This Row],[Cidade]]&amp;"/"&amp;Base_CRM[[#This Row],[Estado]]</f>
        <v>SAO PAULO/</v>
      </c>
      <c r="O225" s="12">
        <f>IFERROR(IF(Base_CRM[[#This Row],[PL Tailor]]&gt;Base_CRM[[#This Row],[PL Declarado]],1,Base_CRM[[#This Row],[PL Tailor]]/Base_CRM[[#This Row],[PL Declarado]]),0)</f>
        <v>0.43401686</v>
      </c>
      <c r="P225" s="11" t="str">
        <f>IF(Base_CRM[[#This Row],[Estado Civil]]="","PESSOA JURÍDICA","PESSOA FÍSICA")</f>
        <v>PESSOA FÍSICA</v>
      </c>
      <c r="Q225" t="str">
        <f>_xlfn.XLOOKUP(Base_CRM[[#This Row],[Cód do Cliente]],'[1]F &amp; O'!$A:$A,'[1]F &amp; O'!$F:$F,_xlfn.XLOOKUP(Base_CRM[[#This Row],[Assessor]],[1]DePara!$A:$A,[1]DePara!$D:$D,"Outros",0,1),0,1)</f>
        <v>Gestora</v>
      </c>
      <c r="R225" s="11" t="str">
        <f>_xlfn.XLOOKUP(Base_CRM[[#This Row],[Cód do Cliente]],'[1]F &amp; O'!$A:$A,'[1]F &amp; O'!D:D,"Sem Finder",0,1)</f>
        <v>Sem Finder</v>
      </c>
      <c r="S225" s="11" t="str">
        <f>_xlfn.XLOOKUP(Base_CRM[[#This Row],[Cód do Cliente]],'[1]F &amp; O'!$A:$A,'[1]F &amp; O'!E:E,"Sem Canal",0,1)</f>
        <v>Gestora</v>
      </c>
      <c r="T225" s="11" t="str">
        <f t="shared" si="3"/>
        <v>Cliente XP</v>
      </c>
    </row>
    <row r="226" spans="1:20" x14ac:dyDescent="0.3">
      <c r="A226">
        <v>2139097</v>
      </c>
      <c r="B226" s="8" t="s">
        <v>565</v>
      </c>
      <c r="C226" s="9" t="s">
        <v>34</v>
      </c>
      <c r="D226" s="8">
        <v>68909.429999999993</v>
      </c>
      <c r="E226">
        <v>500000</v>
      </c>
      <c r="F226" t="s">
        <v>22</v>
      </c>
      <c r="G226" t="s">
        <v>67</v>
      </c>
      <c r="H226" s="10">
        <v>34183</v>
      </c>
      <c r="I226" s="10" t="s">
        <v>566</v>
      </c>
      <c r="K226" t="s">
        <v>25</v>
      </c>
      <c r="L226" t="s">
        <v>567</v>
      </c>
      <c r="N226" s="11" t="str">
        <f>Base_CRM[[#This Row],[Cidade]]&amp;"/"&amp;Base_CRM[[#This Row],[Estado]]</f>
        <v>VITORIA/</v>
      </c>
      <c r="O226" s="12">
        <f>IFERROR(IF(Base_CRM[[#This Row],[PL Tailor]]&gt;Base_CRM[[#This Row],[PL Declarado]],1,Base_CRM[[#This Row],[PL Tailor]]/Base_CRM[[#This Row],[PL Declarado]]),0)</f>
        <v>0.13781885999999999</v>
      </c>
      <c r="P226" s="11" t="str">
        <f>IF(Base_CRM[[#This Row],[Estado Civil]]="","PESSOA JURÍDICA","PESSOA FÍSICA")</f>
        <v>PESSOA FÍSICA</v>
      </c>
      <c r="Q226" t="str">
        <f>_xlfn.XLOOKUP(Base_CRM[[#This Row],[Cód do Cliente]],'[1]F &amp; O'!$A:$A,'[1]F &amp; O'!$F:$F,_xlfn.XLOOKUP(Base_CRM[[#This Row],[Assessor]],[1]DePara!$A:$A,[1]DePara!$D:$D,"Outros",0,1),0,1)</f>
        <v>Adonias Noronha</v>
      </c>
      <c r="R226" s="11" t="str">
        <f>_xlfn.XLOOKUP(Base_CRM[[#This Row],[Cód do Cliente]],'[1]F &amp; O'!$A:$A,'[1]F &amp; O'!D:D,"Sem Finder",0,1)</f>
        <v>Sem Finder</v>
      </c>
      <c r="S226" s="11" t="str">
        <f>_xlfn.XLOOKUP(Base_CRM[[#This Row],[Cód do Cliente]],'[1]F &amp; O'!$A:$A,'[1]F &amp; O'!E:E,"Sem Canal",0,1)</f>
        <v>Sem Canal</v>
      </c>
      <c r="T226" s="11" t="str">
        <f t="shared" si="3"/>
        <v>Cliente XP</v>
      </c>
    </row>
    <row r="227" spans="1:20" x14ac:dyDescent="0.3">
      <c r="A227">
        <v>2139198</v>
      </c>
      <c r="B227" s="8" t="s">
        <v>568</v>
      </c>
      <c r="C227" s="9" t="s">
        <v>39</v>
      </c>
      <c r="D227" s="8">
        <v>413.08</v>
      </c>
      <c r="E227">
        <v>90000</v>
      </c>
      <c r="F227" t="s">
        <v>22</v>
      </c>
      <c r="G227" t="s">
        <v>87</v>
      </c>
      <c r="H227" s="10">
        <v>32450</v>
      </c>
      <c r="I227" s="10" t="s">
        <v>285</v>
      </c>
      <c r="K227" t="s">
        <v>25</v>
      </c>
      <c r="L227" t="s">
        <v>569</v>
      </c>
      <c r="N227" s="11" t="str">
        <f>Base_CRM[[#This Row],[Cidade]]&amp;"/"&amp;Base_CRM[[#This Row],[Estado]]</f>
        <v>SANTANA DE PARNAIBA/</v>
      </c>
      <c r="O227" s="12">
        <f>IFERROR(IF(Base_CRM[[#This Row],[PL Tailor]]&gt;Base_CRM[[#This Row],[PL Declarado]],1,Base_CRM[[#This Row],[PL Tailor]]/Base_CRM[[#This Row],[PL Declarado]]),0)</f>
        <v>4.5897777777777777E-3</v>
      </c>
      <c r="P227" s="11" t="str">
        <f>IF(Base_CRM[[#This Row],[Estado Civil]]="","PESSOA JURÍDICA","PESSOA FÍSICA")</f>
        <v>PESSOA FÍSICA</v>
      </c>
      <c r="Q227" t="str">
        <f>_xlfn.XLOOKUP(Base_CRM[[#This Row],[Cód do Cliente]],'[1]F &amp; O'!$A:$A,'[1]F &amp; O'!$F:$F,_xlfn.XLOOKUP(Base_CRM[[#This Row],[Assessor]],[1]DePara!$A:$A,[1]DePara!$D:$D,"Outros",0,1),0,1)</f>
        <v>Gestora</v>
      </c>
      <c r="R227" s="11" t="str">
        <f>_xlfn.XLOOKUP(Base_CRM[[#This Row],[Cód do Cliente]],'[1]F &amp; O'!$A:$A,'[1]F &amp; O'!D:D,"Sem Finder",0,1)</f>
        <v>Sem Finder</v>
      </c>
      <c r="S227" s="11" t="str">
        <f>_xlfn.XLOOKUP(Base_CRM[[#This Row],[Cód do Cliente]],'[1]F &amp; O'!$A:$A,'[1]F &amp; O'!E:E,"Sem Canal",0,1)</f>
        <v>Gestora</v>
      </c>
      <c r="T227" s="11" t="str">
        <f t="shared" si="3"/>
        <v>Cliente XP</v>
      </c>
    </row>
    <row r="228" spans="1:20" x14ac:dyDescent="0.3">
      <c r="A228">
        <v>2146885</v>
      </c>
      <c r="B228" s="8" t="s">
        <v>570</v>
      </c>
      <c r="C228" s="9" t="s">
        <v>39</v>
      </c>
      <c r="D228" s="8">
        <v>307813.37</v>
      </c>
      <c r="E228">
        <v>1000000</v>
      </c>
      <c r="F228" t="s">
        <v>29</v>
      </c>
      <c r="G228" t="s">
        <v>67</v>
      </c>
      <c r="H228" s="10">
        <v>32415</v>
      </c>
      <c r="I228" s="10" t="s">
        <v>115</v>
      </c>
      <c r="K228" t="s">
        <v>42</v>
      </c>
      <c r="L228" t="s">
        <v>571</v>
      </c>
      <c r="N228" s="11" t="str">
        <f>Base_CRM[[#This Row],[Cidade]]&amp;"/"&amp;Base_CRM[[#This Row],[Estado]]</f>
        <v>BARUERI/</v>
      </c>
      <c r="O228" s="12">
        <f>IFERROR(IF(Base_CRM[[#This Row],[PL Tailor]]&gt;Base_CRM[[#This Row],[PL Declarado]],1,Base_CRM[[#This Row],[PL Tailor]]/Base_CRM[[#This Row],[PL Declarado]]),0)</f>
        <v>0.30781336999999998</v>
      </c>
      <c r="P228" s="11" t="str">
        <f>IF(Base_CRM[[#This Row],[Estado Civil]]="","PESSOA JURÍDICA","PESSOA FÍSICA")</f>
        <v>PESSOA FÍSICA</v>
      </c>
      <c r="Q228" t="str">
        <f>_xlfn.XLOOKUP(Base_CRM[[#This Row],[Cód do Cliente]],'[1]F &amp; O'!$A:$A,'[1]F &amp; O'!$F:$F,_xlfn.XLOOKUP(Base_CRM[[#This Row],[Assessor]],[1]DePara!$A:$A,[1]DePara!$D:$D,"Outros",0,1),0,1)</f>
        <v>Gestora</v>
      </c>
      <c r="R228" s="11" t="str">
        <f>_xlfn.XLOOKUP(Base_CRM[[#This Row],[Cód do Cliente]],'[1]F &amp; O'!$A:$A,'[1]F &amp; O'!D:D,"Sem Finder",0,1)</f>
        <v>Sem Finder</v>
      </c>
      <c r="S228" s="11" t="str">
        <f>_xlfn.XLOOKUP(Base_CRM[[#This Row],[Cód do Cliente]],'[1]F &amp; O'!$A:$A,'[1]F &amp; O'!E:E,"Sem Canal",0,1)</f>
        <v>Gestora</v>
      </c>
      <c r="T228" s="11" t="str">
        <f t="shared" si="3"/>
        <v>Cliente XP</v>
      </c>
    </row>
    <row r="229" spans="1:20" x14ac:dyDescent="0.3">
      <c r="A229">
        <v>2148788</v>
      </c>
      <c r="B229" s="8" t="s">
        <v>572</v>
      </c>
      <c r="C229" s="9" t="s">
        <v>21</v>
      </c>
      <c r="D229" s="8">
        <v>384715.43</v>
      </c>
      <c r="E229">
        <v>75000</v>
      </c>
      <c r="F229" t="s">
        <v>29</v>
      </c>
      <c r="G229" t="s">
        <v>23</v>
      </c>
      <c r="H229" s="10">
        <v>33712</v>
      </c>
      <c r="I229" s="10" t="s">
        <v>24</v>
      </c>
      <c r="K229" t="s">
        <v>25</v>
      </c>
      <c r="L229" t="s">
        <v>573</v>
      </c>
      <c r="N229" s="11" t="str">
        <f>Base_CRM[[#This Row],[Cidade]]&amp;"/"&amp;Base_CRM[[#This Row],[Estado]]</f>
        <v>RIO DE JANEIRO/</v>
      </c>
      <c r="O229" s="12">
        <f>IFERROR(IF(Base_CRM[[#This Row],[PL Tailor]]&gt;Base_CRM[[#This Row],[PL Declarado]],1,Base_CRM[[#This Row],[PL Tailor]]/Base_CRM[[#This Row],[PL Declarado]]),0)</f>
        <v>1</v>
      </c>
      <c r="P229" s="11" t="str">
        <f>IF(Base_CRM[[#This Row],[Estado Civil]]="","PESSOA JURÍDICA","PESSOA FÍSICA")</f>
        <v>PESSOA FÍSICA</v>
      </c>
      <c r="Q229" t="str">
        <f>_xlfn.XLOOKUP(Base_CRM[[#This Row],[Cód do Cliente]],'[1]F &amp; O'!$A:$A,'[1]F &amp; O'!$F:$F,_xlfn.XLOOKUP(Base_CRM[[#This Row],[Assessor]],[1]DePara!$A:$A,[1]DePara!$D:$D,"Outros",0,1),0,1)</f>
        <v>Leonardo Burle</v>
      </c>
      <c r="R229" s="11" t="str">
        <f>_xlfn.XLOOKUP(Base_CRM[[#This Row],[Cód do Cliente]],'[1]F &amp; O'!$A:$A,'[1]F &amp; O'!D:D,"Sem Finder",0,1)</f>
        <v>Sem Finder</v>
      </c>
      <c r="S229" s="11" t="str">
        <f>_xlfn.XLOOKUP(Base_CRM[[#This Row],[Cód do Cliente]],'[1]F &amp; O'!$A:$A,'[1]F &amp; O'!E:E,"Sem Canal",0,1)</f>
        <v>Sem Canal</v>
      </c>
      <c r="T229" s="11" t="str">
        <f t="shared" si="3"/>
        <v>Cliente XP</v>
      </c>
    </row>
    <row r="230" spans="1:20" x14ac:dyDescent="0.3">
      <c r="A230">
        <v>2157783</v>
      </c>
      <c r="B230" s="8" t="s">
        <v>574</v>
      </c>
      <c r="C230" s="9" t="s">
        <v>21</v>
      </c>
      <c r="D230" s="8">
        <v>5926608.1799999997</v>
      </c>
      <c r="E230">
        <v>1700000</v>
      </c>
      <c r="F230" t="s">
        <v>22</v>
      </c>
      <c r="G230" t="s">
        <v>30</v>
      </c>
      <c r="H230" s="10">
        <v>24674</v>
      </c>
      <c r="I230" s="10" t="s">
        <v>24</v>
      </c>
      <c r="K230" t="s">
        <v>42</v>
      </c>
      <c r="L230" t="s">
        <v>575</v>
      </c>
      <c r="M230" t="s">
        <v>64</v>
      </c>
      <c r="N230" s="11" t="str">
        <f>Base_CRM[[#This Row],[Cidade]]&amp;"/"&amp;Base_CRM[[#This Row],[Estado]]</f>
        <v>RIO DE JANEIRO/</v>
      </c>
      <c r="O230" s="12">
        <f>IFERROR(IF(Base_CRM[[#This Row],[PL Tailor]]&gt;Base_CRM[[#This Row],[PL Declarado]],1,Base_CRM[[#This Row],[PL Tailor]]/Base_CRM[[#This Row],[PL Declarado]]),0)</f>
        <v>1</v>
      </c>
      <c r="P230" s="11" t="str">
        <f>IF(Base_CRM[[#This Row],[Estado Civil]]="","PESSOA JURÍDICA","PESSOA FÍSICA")</f>
        <v>PESSOA FÍSICA</v>
      </c>
      <c r="Q230" t="str">
        <f>_xlfn.XLOOKUP(Base_CRM[[#This Row],[Cód do Cliente]],'[1]F &amp; O'!$A:$A,'[1]F &amp; O'!$F:$F,_xlfn.XLOOKUP(Base_CRM[[#This Row],[Assessor]],[1]DePara!$A:$A,[1]DePara!$D:$D,"Outros",0,1),0,1)</f>
        <v>Leonardo Burle</v>
      </c>
      <c r="R230" s="11" t="str">
        <f>_xlfn.XLOOKUP(Base_CRM[[#This Row],[Cód do Cliente]],'[1]F &amp; O'!$A:$A,'[1]F &amp; O'!D:D,"Sem Finder",0,1)</f>
        <v>Sem Finder</v>
      </c>
      <c r="S230" s="11" t="str">
        <f>_xlfn.XLOOKUP(Base_CRM[[#This Row],[Cód do Cliente]],'[1]F &amp; O'!$A:$A,'[1]F &amp; O'!E:E,"Sem Canal",0,1)</f>
        <v>Sem Canal</v>
      </c>
      <c r="T230" s="11" t="str">
        <f t="shared" si="3"/>
        <v>Cliente XP</v>
      </c>
    </row>
    <row r="231" spans="1:20" x14ac:dyDescent="0.3">
      <c r="A231">
        <v>2158062</v>
      </c>
      <c r="B231" s="8" t="s">
        <v>467</v>
      </c>
      <c r="C231" s="9" t="s">
        <v>39</v>
      </c>
      <c r="D231" s="8">
        <v>69690.28</v>
      </c>
      <c r="E231">
        <v>1000000</v>
      </c>
      <c r="F231" t="s">
        <v>22</v>
      </c>
      <c r="G231" t="s">
        <v>87</v>
      </c>
      <c r="H231" s="10">
        <v>32171</v>
      </c>
      <c r="I231" s="10" t="s">
        <v>31</v>
      </c>
      <c r="K231" t="s">
        <v>42</v>
      </c>
      <c r="L231" t="s">
        <v>468</v>
      </c>
      <c r="N231" s="11" t="str">
        <f>Base_CRM[[#This Row],[Cidade]]&amp;"/"&amp;Base_CRM[[#This Row],[Estado]]</f>
        <v>SAO PAULO/</v>
      </c>
      <c r="O231" s="12">
        <f>IFERROR(IF(Base_CRM[[#This Row],[PL Tailor]]&gt;Base_CRM[[#This Row],[PL Declarado]],1,Base_CRM[[#This Row],[PL Tailor]]/Base_CRM[[#This Row],[PL Declarado]]),0)</f>
        <v>6.9690279999999993E-2</v>
      </c>
      <c r="P231" s="11" t="str">
        <f>IF(Base_CRM[[#This Row],[Estado Civil]]="","PESSOA JURÍDICA","PESSOA FÍSICA")</f>
        <v>PESSOA FÍSICA</v>
      </c>
      <c r="Q231" t="str">
        <f>_xlfn.XLOOKUP(Base_CRM[[#This Row],[Cód do Cliente]],'[1]F &amp; O'!$A:$A,'[1]F &amp; O'!$F:$F,_xlfn.XLOOKUP(Base_CRM[[#This Row],[Assessor]],[1]DePara!$A:$A,[1]DePara!$D:$D,"Outros",0,1),0,1)</f>
        <v>Gestora</v>
      </c>
      <c r="R231" s="11" t="str">
        <f>_xlfn.XLOOKUP(Base_CRM[[#This Row],[Cód do Cliente]],'[1]F &amp; O'!$A:$A,'[1]F &amp; O'!D:D,"Sem Finder",0,1)</f>
        <v>Pedro Chagas</v>
      </c>
      <c r="S231" s="11" t="str">
        <f>_xlfn.XLOOKUP(Base_CRM[[#This Row],[Cód do Cliente]],'[1]F &amp; O'!$A:$A,'[1]F &amp; O'!E:E,"Sem Canal",0,1)</f>
        <v>Gestora</v>
      </c>
      <c r="T231" s="11" t="str">
        <f t="shared" si="3"/>
        <v>Cliente XP</v>
      </c>
    </row>
    <row r="232" spans="1:20" x14ac:dyDescent="0.3">
      <c r="A232">
        <v>2162369</v>
      </c>
      <c r="B232" s="8" t="s">
        <v>576</v>
      </c>
      <c r="C232" s="9" t="s">
        <v>103</v>
      </c>
      <c r="D232" s="8">
        <v>602555.34</v>
      </c>
      <c r="E232">
        <v>1000000</v>
      </c>
      <c r="F232" t="s">
        <v>22</v>
      </c>
      <c r="G232" t="s">
        <v>57</v>
      </c>
      <c r="H232" s="10">
        <v>33178</v>
      </c>
      <c r="I232" s="10" t="s">
        <v>577</v>
      </c>
      <c r="K232" t="s">
        <v>104</v>
      </c>
      <c r="L232" t="s">
        <v>578</v>
      </c>
      <c r="N232" s="11" t="str">
        <f>Base_CRM[[#This Row],[Cidade]]&amp;"/"&amp;Base_CRM[[#This Row],[Estado]]</f>
        <v>Chapecó/</v>
      </c>
      <c r="O232" s="12">
        <f>IFERROR(IF(Base_CRM[[#This Row],[PL Tailor]]&gt;Base_CRM[[#This Row],[PL Declarado]],1,Base_CRM[[#This Row],[PL Tailor]]/Base_CRM[[#This Row],[PL Declarado]]),0)</f>
        <v>0.60255533999999999</v>
      </c>
      <c r="P232" s="11" t="str">
        <f>IF(Base_CRM[[#This Row],[Estado Civil]]="","PESSOA JURÍDICA","PESSOA FÍSICA")</f>
        <v>PESSOA FÍSICA</v>
      </c>
      <c r="Q232" t="str">
        <f>_xlfn.XLOOKUP(Base_CRM[[#This Row],[Cód do Cliente]],'[1]F &amp; O'!$A:$A,'[1]F &amp; O'!$F:$F,_xlfn.XLOOKUP(Base_CRM[[#This Row],[Assessor]],[1]DePara!$A:$A,[1]DePara!$D:$D,"Outros",0,1),0,1)</f>
        <v>Raphael Pereira</v>
      </c>
      <c r="R232" s="11" t="str">
        <f>_xlfn.XLOOKUP(Base_CRM[[#This Row],[Cód do Cliente]],'[1]F &amp; O'!$A:$A,'[1]F &amp; O'!D:D,"Sem Finder",0,1)</f>
        <v>Sem Finder</v>
      </c>
      <c r="S232" s="11" t="str">
        <f>_xlfn.XLOOKUP(Base_CRM[[#This Row],[Cód do Cliente]],'[1]F &amp; O'!$A:$A,'[1]F &amp; O'!E:E,"Sem Canal",0,1)</f>
        <v>Sem Canal</v>
      </c>
      <c r="T232" s="11" t="str">
        <f t="shared" si="3"/>
        <v>Cliente XP</v>
      </c>
    </row>
    <row r="233" spans="1:20" x14ac:dyDescent="0.3">
      <c r="A233">
        <v>2163823</v>
      </c>
      <c r="B233" s="8" t="s">
        <v>579</v>
      </c>
      <c r="C233" s="9" t="s">
        <v>34</v>
      </c>
      <c r="D233" s="8">
        <v>1418214.7</v>
      </c>
      <c r="E233">
        <v>1000000</v>
      </c>
      <c r="F233" t="s">
        <v>29</v>
      </c>
      <c r="G233" t="s">
        <v>96</v>
      </c>
      <c r="H233" s="10">
        <v>29680</v>
      </c>
      <c r="I233" s="10" t="s">
        <v>349</v>
      </c>
      <c r="K233" t="s">
        <v>42</v>
      </c>
      <c r="L233" t="s">
        <v>580</v>
      </c>
      <c r="N233" s="11" t="str">
        <f>Base_CRM[[#This Row],[Cidade]]&amp;"/"&amp;Base_CRM[[#This Row],[Estado]]</f>
        <v>São Paulo/</v>
      </c>
      <c r="O233" s="12">
        <f>IFERROR(IF(Base_CRM[[#This Row],[PL Tailor]]&gt;Base_CRM[[#This Row],[PL Declarado]],1,Base_CRM[[#This Row],[PL Tailor]]/Base_CRM[[#This Row],[PL Declarado]]),0)</f>
        <v>1</v>
      </c>
      <c r="P233" s="11" t="str">
        <f>IF(Base_CRM[[#This Row],[Estado Civil]]="","PESSOA JURÍDICA","PESSOA FÍSICA")</f>
        <v>PESSOA FÍSICA</v>
      </c>
      <c r="Q233" t="str">
        <f>_xlfn.XLOOKUP(Base_CRM[[#This Row],[Cód do Cliente]],'[1]F &amp; O'!$A:$A,'[1]F &amp; O'!$F:$F,_xlfn.XLOOKUP(Base_CRM[[#This Row],[Assessor]],[1]DePara!$A:$A,[1]DePara!$D:$D,"Outros",0,1),0,1)</f>
        <v>Adonias Noronha</v>
      </c>
      <c r="R233" s="11" t="str">
        <f>_xlfn.XLOOKUP(Base_CRM[[#This Row],[Cód do Cliente]],'[1]F &amp; O'!$A:$A,'[1]F &amp; O'!D:D,"Sem Finder",0,1)</f>
        <v>Sem Finder</v>
      </c>
      <c r="S233" s="11" t="str">
        <f>_xlfn.XLOOKUP(Base_CRM[[#This Row],[Cód do Cliente]],'[1]F &amp; O'!$A:$A,'[1]F &amp; O'!E:E,"Sem Canal",0,1)</f>
        <v>Sem Canal</v>
      </c>
      <c r="T233" s="11" t="str">
        <f t="shared" si="3"/>
        <v>Cliente XP</v>
      </c>
    </row>
    <row r="234" spans="1:20" x14ac:dyDescent="0.3">
      <c r="A234">
        <v>2171002</v>
      </c>
      <c r="B234" s="8" t="s">
        <v>581</v>
      </c>
      <c r="C234" s="9" t="s">
        <v>21</v>
      </c>
      <c r="D234" s="8">
        <v>1156127.04</v>
      </c>
      <c r="E234">
        <v>1500000</v>
      </c>
      <c r="F234" t="s">
        <v>22</v>
      </c>
      <c r="G234" t="s">
        <v>23</v>
      </c>
      <c r="H234" s="10">
        <v>23930</v>
      </c>
      <c r="I234" s="10" t="s">
        <v>31</v>
      </c>
      <c r="K234" t="s">
        <v>25</v>
      </c>
      <c r="L234" t="s">
        <v>582</v>
      </c>
      <c r="N234" s="11" t="str">
        <f>Base_CRM[[#This Row],[Cidade]]&amp;"/"&amp;Base_CRM[[#This Row],[Estado]]</f>
        <v>SAO PAULO/</v>
      </c>
      <c r="O234" s="12">
        <f>IFERROR(IF(Base_CRM[[#This Row],[PL Tailor]]&gt;Base_CRM[[#This Row],[PL Declarado]],1,Base_CRM[[#This Row],[PL Tailor]]/Base_CRM[[#This Row],[PL Declarado]]),0)</f>
        <v>0.77075136</v>
      </c>
      <c r="P234" s="11" t="str">
        <f>IF(Base_CRM[[#This Row],[Estado Civil]]="","PESSOA JURÍDICA","PESSOA FÍSICA")</f>
        <v>PESSOA FÍSICA</v>
      </c>
      <c r="Q234" t="str">
        <f>_xlfn.XLOOKUP(Base_CRM[[#This Row],[Cód do Cliente]],'[1]F &amp; O'!$A:$A,'[1]F &amp; O'!$F:$F,_xlfn.XLOOKUP(Base_CRM[[#This Row],[Assessor]],[1]DePara!$A:$A,[1]DePara!$D:$D,"Outros",0,1),0,1)</f>
        <v>Leonardo Burle</v>
      </c>
      <c r="R234" s="11" t="str">
        <f>_xlfn.XLOOKUP(Base_CRM[[#This Row],[Cód do Cliente]],'[1]F &amp; O'!$A:$A,'[1]F &amp; O'!D:D,"Sem Finder",0,1)</f>
        <v>Sem Finder</v>
      </c>
      <c r="S234" s="11" t="str">
        <f>_xlfn.XLOOKUP(Base_CRM[[#This Row],[Cód do Cliente]],'[1]F &amp; O'!$A:$A,'[1]F &amp; O'!E:E,"Sem Canal",0,1)</f>
        <v>Sem Canal</v>
      </c>
      <c r="T234" s="11" t="str">
        <f t="shared" si="3"/>
        <v>Cliente XP</v>
      </c>
    </row>
    <row r="235" spans="1:20" x14ac:dyDescent="0.3">
      <c r="A235">
        <v>2189239</v>
      </c>
      <c r="B235" s="8" t="s">
        <v>583</v>
      </c>
      <c r="C235" s="9" t="s">
        <v>21</v>
      </c>
      <c r="D235" s="8">
        <v>3417359.09</v>
      </c>
      <c r="E235">
        <v>3200000</v>
      </c>
      <c r="F235" t="s">
        <v>29</v>
      </c>
      <c r="G235" t="s">
        <v>71</v>
      </c>
      <c r="H235" s="10">
        <v>20797</v>
      </c>
      <c r="I235" s="10" t="s">
        <v>584</v>
      </c>
      <c r="K235" t="s">
        <v>42</v>
      </c>
      <c r="L235" t="s">
        <v>585</v>
      </c>
      <c r="M235" t="s">
        <v>64</v>
      </c>
      <c r="N235" s="11" t="str">
        <f>Base_CRM[[#This Row],[Cidade]]&amp;"/"&amp;Base_CRM[[#This Row],[Estado]]</f>
        <v>NOVA FRIBURGO/</v>
      </c>
      <c r="O235" s="12">
        <f>IFERROR(IF(Base_CRM[[#This Row],[PL Tailor]]&gt;Base_CRM[[#This Row],[PL Declarado]],1,Base_CRM[[#This Row],[PL Tailor]]/Base_CRM[[#This Row],[PL Declarado]]),0)</f>
        <v>1</v>
      </c>
      <c r="P235" s="11" t="str">
        <f>IF(Base_CRM[[#This Row],[Estado Civil]]="","PESSOA JURÍDICA","PESSOA FÍSICA")</f>
        <v>PESSOA FÍSICA</v>
      </c>
      <c r="Q235" t="str">
        <f>_xlfn.XLOOKUP(Base_CRM[[#This Row],[Cód do Cliente]],'[1]F &amp; O'!$A:$A,'[1]F &amp; O'!$F:$F,_xlfn.XLOOKUP(Base_CRM[[#This Row],[Assessor]],[1]DePara!$A:$A,[1]DePara!$D:$D,"Outros",0,1),0,1)</f>
        <v>Leonardo Burle</v>
      </c>
      <c r="R235" s="11" t="str">
        <f>_xlfn.XLOOKUP(Base_CRM[[#This Row],[Cód do Cliente]],'[1]F &amp; O'!$A:$A,'[1]F &amp; O'!D:D,"Sem Finder",0,1)</f>
        <v>Sem Finder</v>
      </c>
      <c r="S235" s="11" t="str">
        <f>_xlfn.XLOOKUP(Base_CRM[[#This Row],[Cód do Cliente]],'[1]F &amp; O'!$A:$A,'[1]F &amp; O'!E:E,"Sem Canal",0,1)</f>
        <v>Sem Canal</v>
      </c>
      <c r="T235" s="11" t="str">
        <f t="shared" si="3"/>
        <v>Cliente XP</v>
      </c>
    </row>
    <row r="236" spans="1:20" x14ac:dyDescent="0.3">
      <c r="A236">
        <v>2189341</v>
      </c>
      <c r="B236" s="8" t="s">
        <v>586</v>
      </c>
      <c r="C236" s="9" t="s">
        <v>66</v>
      </c>
      <c r="D236" s="8">
        <v>3503737.06</v>
      </c>
      <c r="E236">
        <v>2500000</v>
      </c>
      <c r="F236" t="s">
        <v>22</v>
      </c>
      <c r="G236" t="s">
        <v>87</v>
      </c>
      <c r="H236" s="10">
        <v>35051</v>
      </c>
      <c r="I236" s="10" t="s">
        <v>24</v>
      </c>
      <c r="K236" t="s">
        <v>25</v>
      </c>
      <c r="L236" t="s">
        <v>587</v>
      </c>
      <c r="N236" s="11" t="str">
        <f>Base_CRM[[#This Row],[Cidade]]&amp;"/"&amp;Base_CRM[[#This Row],[Estado]]</f>
        <v>RIO DE JANEIRO/</v>
      </c>
      <c r="O236" s="12">
        <f>IFERROR(IF(Base_CRM[[#This Row],[PL Tailor]]&gt;Base_CRM[[#This Row],[PL Declarado]],1,Base_CRM[[#This Row],[PL Tailor]]/Base_CRM[[#This Row],[PL Declarado]]),0)</f>
        <v>1</v>
      </c>
      <c r="P236" s="11" t="str">
        <f>IF(Base_CRM[[#This Row],[Estado Civil]]="","PESSOA JURÍDICA","PESSOA FÍSICA")</f>
        <v>PESSOA FÍSICA</v>
      </c>
      <c r="Q236" t="str">
        <f>_xlfn.XLOOKUP(Base_CRM[[#This Row],[Cód do Cliente]],'[1]F &amp; O'!$A:$A,'[1]F &amp; O'!$F:$F,_xlfn.XLOOKUP(Base_CRM[[#This Row],[Assessor]],[1]DePara!$A:$A,[1]DePara!$D:$D,"Outros",0,1),0,1)</f>
        <v>Caroline Vlavianos</v>
      </c>
      <c r="R236" s="11" t="str">
        <f>_xlfn.XLOOKUP(Base_CRM[[#This Row],[Cód do Cliente]],'[1]F &amp; O'!$A:$A,'[1]F &amp; O'!D:D,"Sem Finder",0,1)</f>
        <v>Sem Finder</v>
      </c>
      <c r="S236" s="11" t="str">
        <f>_xlfn.XLOOKUP(Base_CRM[[#This Row],[Cód do Cliente]],'[1]F &amp; O'!$A:$A,'[1]F &amp; O'!E:E,"Sem Canal",0,1)</f>
        <v>Sem Canal</v>
      </c>
      <c r="T236" s="11" t="str">
        <f t="shared" si="3"/>
        <v>Cliente XP</v>
      </c>
    </row>
    <row r="237" spans="1:20" x14ac:dyDescent="0.3">
      <c r="A237">
        <v>2211351</v>
      </c>
      <c r="B237" s="8" t="s">
        <v>246</v>
      </c>
      <c r="C237" s="9" t="s">
        <v>34</v>
      </c>
      <c r="D237" s="8">
        <v>371025.99</v>
      </c>
      <c r="E237">
        <v>400</v>
      </c>
      <c r="F237" t="s">
        <v>22</v>
      </c>
      <c r="G237" t="s">
        <v>67</v>
      </c>
      <c r="H237" s="10">
        <v>30457</v>
      </c>
      <c r="I237" s="10" t="s">
        <v>247</v>
      </c>
      <c r="K237" t="s">
        <v>104</v>
      </c>
      <c r="L237" t="s">
        <v>248</v>
      </c>
      <c r="M237" t="s">
        <v>64</v>
      </c>
      <c r="N237" s="11" t="str">
        <f>Base_CRM[[#This Row],[Cidade]]&amp;"/"&amp;Base_CRM[[#This Row],[Estado]]</f>
        <v>Campinas/</v>
      </c>
      <c r="O237" s="12">
        <f>IFERROR(IF(Base_CRM[[#This Row],[PL Tailor]]&gt;Base_CRM[[#This Row],[PL Declarado]],1,Base_CRM[[#This Row],[PL Tailor]]/Base_CRM[[#This Row],[PL Declarado]]),0)</f>
        <v>1</v>
      </c>
      <c r="P237" s="11" t="str">
        <f>IF(Base_CRM[[#This Row],[Estado Civil]]="","PESSOA JURÍDICA","PESSOA FÍSICA")</f>
        <v>PESSOA FÍSICA</v>
      </c>
      <c r="Q237" t="str">
        <f>_xlfn.XLOOKUP(Base_CRM[[#This Row],[Cód do Cliente]],'[1]F &amp; O'!$A:$A,'[1]F &amp; O'!$F:$F,_xlfn.XLOOKUP(Base_CRM[[#This Row],[Assessor]],[1]DePara!$A:$A,[1]DePara!$D:$D,"Outros",0,1),0,1)</f>
        <v>Adonias Noronha</v>
      </c>
      <c r="R237" s="11" t="str">
        <f>_xlfn.XLOOKUP(Base_CRM[[#This Row],[Cód do Cliente]],'[1]F &amp; O'!$A:$A,'[1]F &amp; O'!D:D,"Sem Finder",0,1)</f>
        <v>Sem Finder</v>
      </c>
      <c r="S237" s="11" t="str">
        <f>_xlfn.XLOOKUP(Base_CRM[[#This Row],[Cód do Cliente]],'[1]F &amp; O'!$A:$A,'[1]F &amp; O'!E:E,"Sem Canal",0,1)</f>
        <v>Sem Canal</v>
      </c>
      <c r="T237" s="11" t="str">
        <f t="shared" si="3"/>
        <v>Cliente XP</v>
      </c>
    </row>
    <row r="238" spans="1:20" x14ac:dyDescent="0.3">
      <c r="A238">
        <v>2212068</v>
      </c>
      <c r="B238" s="8" t="s">
        <v>588</v>
      </c>
      <c r="C238" s="9" t="s">
        <v>74</v>
      </c>
      <c r="D238" s="8">
        <v>1354.12</v>
      </c>
      <c r="E238">
        <v>50000</v>
      </c>
      <c r="F238" t="s">
        <v>22</v>
      </c>
      <c r="G238" t="s">
        <v>67</v>
      </c>
      <c r="H238" s="10">
        <v>29172</v>
      </c>
      <c r="I238" s="10" t="s">
        <v>24</v>
      </c>
      <c r="K238" t="s">
        <v>42</v>
      </c>
      <c r="L238" t="s">
        <v>589</v>
      </c>
      <c r="N238" s="11" t="str">
        <f>Base_CRM[[#This Row],[Cidade]]&amp;"/"&amp;Base_CRM[[#This Row],[Estado]]</f>
        <v>RIO DE JANEIRO/</v>
      </c>
      <c r="O238" s="12">
        <f>IFERROR(IF(Base_CRM[[#This Row],[PL Tailor]]&gt;Base_CRM[[#This Row],[PL Declarado]],1,Base_CRM[[#This Row],[PL Tailor]]/Base_CRM[[#This Row],[PL Declarado]]),0)</f>
        <v>2.70824E-2</v>
      </c>
      <c r="P238" s="11" t="str">
        <f>IF(Base_CRM[[#This Row],[Estado Civil]]="","PESSOA JURÍDICA","PESSOA FÍSICA")</f>
        <v>PESSOA FÍSICA</v>
      </c>
      <c r="Q238" t="str">
        <f>_xlfn.XLOOKUP(Base_CRM[[#This Row],[Cód do Cliente]],'[1]F &amp; O'!$A:$A,'[1]F &amp; O'!$F:$F,_xlfn.XLOOKUP(Base_CRM[[#This Row],[Assessor]],[1]DePara!$A:$A,[1]DePara!$D:$D,"Outros",0,1),0,1)</f>
        <v>Thayane Freitas</v>
      </c>
      <c r="R238" s="11" t="str">
        <f>_xlfn.XLOOKUP(Base_CRM[[#This Row],[Cód do Cliente]],'[1]F &amp; O'!$A:$A,'[1]F &amp; O'!D:D,"Sem Finder",0,1)</f>
        <v>Sem Finder</v>
      </c>
      <c r="S238" s="11" t="str">
        <f>_xlfn.XLOOKUP(Base_CRM[[#This Row],[Cód do Cliente]],'[1]F &amp; O'!$A:$A,'[1]F &amp; O'!E:E,"Sem Canal",0,1)</f>
        <v>Sem Canal</v>
      </c>
      <c r="T238" s="11" t="str">
        <f t="shared" si="3"/>
        <v>Cliente XP</v>
      </c>
    </row>
    <row r="239" spans="1:20" x14ac:dyDescent="0.3">
      <c r="A239">
        <v>2213682</v>
      </c>
      <c r="B239" s="8" t="s">
        <v>590</v>
      </c>
      <c r="C239" s="9" t="s">
        <v>39</v>
      </c>
      <c r="D239" s="8">
        <v>3693363.61</v>
      </c>
      <c r="E239">
        <v>10000000</v>
      </c>
      <c r="F239" t="s">
        <v>22</v>
      </c>
      <c r="G239" t="s">
        <v>71</v>
      </c>
      <c r="H239" s="10">
        <v>23452</v>
      </c>
      <c r="I239" s="10" t="s">
        <v>31</v>
      </c>
      <c r="K239" t="s">
        <v>42</v>
      </c>
      <c r="L239" t="s">
        <v>591</v>
      </c>
      <c r="N239" s="11" t="str">
        <f>Base_CRM[[#This Row],[Cidade]]&amp;"/"&amp;Base_CRM[[#This Row],[Estado]]</f>
        <v>SAO PAULO/</v>
      </c>
      <c r="O239" s="12">
        <f>IFERROR(IF(Base_CRM[[#This Row],[PL Tailor]]&gt;Base_CRM[[#This Row],[PL Declarado]],1,Base_CRM[[#This Row],[PL Tailor]]/Base_CRM[[#This Row],[PL Declarado]]),0)</f>
        <v>0.369336361</v>
      </c>
      <c r="P239" s="11" t="str">
        <f>IF(Base_CRM[[#This Row],[Estado Civil]]="","PESSOA JURÍDICA","PESSOA FÍSICA")</f>
        <v>PESSOA FÍSICA</v>
      </c>
      <c r="Q239" t="str">
        <f>_xlfn.XLOOKUP(Base_CRM[[#This Row],[Cód do Cliente]],'[1]F &amp; O'!$A:$A,'[1]F &amp; O'!$F:$F,_xlfn.XLOOKUP(Base_CRM[[#This Row],[Assessor]],[1]DePara!$A:$A,[1]DePara!$D:$D,"Outros",0,1),0,1)</f>
        <v>Gestora</v>
      </c>
      <c r="R239" s="11" t="str">
        <f>_xlfn.XLOOKUP(Base_CRM[[#This Row],[Cód do Cliente]],'[1]F &amp; O'!$A:$A,'[1]F &amp; O'!D:D,"Sem Finder",0,1)</f>
        <v>Sem Finder</v>
      </c>
      <c r="S239" s="11" t="str">
        <f>_xlfn.XLOOKUP(Base_CRM[[#This Row],[Cód do Cliente]],'[1]F &amp; O'!$A:$A,'[1]F &amp; O'!E:E,"Sem Canal",0,1)</f>
        <v>Gestora</v>
      </c>
      <c r="T239" s="11" t="str">
        <f t="shared" si="3"/>
        <v>Cliente XP</v>
      </c>
    </row>
    <row r="240" spans="1:20" x14ac:dyDescent="0.3">
      <c r="A240">
        <v>2220307</v>
      </c>
      <c r="B240" s="8" t="s">
        <v>592</v>
      </c>
      <c r="C240" s="9" t="s">
        <v>48</v>
      </c>
      <c r="D240" s="8">
        <v>2951582.67</v>
      </c>
      <c r="E240">
        <v>1800000</v>
      </c>
      <c r="F240" t="s">
        <v>22</v>
      </c>
      <c r="G240" t="s">
        <v>127</v>
      </c>
      <c r="H240" s="10">
        <v>16764</v>
      </c>
      <c r="I240" s="10" t="s">
        <v>24</v>
      </c>
      <c r="K240" t="s">
        <v>593</v>
      </c>
      <c r="L240" t="s">
        <v>594</v>
      </c>
      <c r="M240" t="s">
        <v>64</v>
      </c>
      <c r="N240" s="11" t="str">
        <f>Base_CRM[[#This Row],[Cidade]]&amp;"/"&amp;Base_CRM[[#This Row],[Estado]]</f>
        <v>RIO DE JANEIRO/</v>
      </c>
      <c r="O240" s="12">
        <f>IFERROR(IF(Base_CRM[[#This Row],[PL Tailor]]&gt;Base_CRM[[#This Row],[PL Declarado]],1,Base_CRM[[#This Row],[PL Tailor]]/Base_CRM[[#This Row],[PL Declarado]]),0)</f>
        <v>1</v>
      </c>
      <c r="P240" s="11" t="str">
        <f>IF(Base_CRM[[#This Row],[Estado Civil]]="","PESSOA JURÍDICA","PESSOA FÍSICA")</f>
        <v>PESSOA FÍSICA</v>
      </c>
      <c r="Q240" t="str">
        <f>_xlfn.XLOOKUP(Base_CRM[[#This Row],[Cód do Cliente]],'[1]F &amp; O'!$A:$A,'[1]F &amp; O'!$F:$F,_xlfn.XLOOKUP(Base_CRM[[#This Row],[Assessor]],[1]DePara!$A:$A,[1]DePara!$D:$D,"Outros",0,1),0,1)</f>
        <v>Raphael Farias</v>
      </c>
      <c r="R240" s="11" t="str">
        <f>_xlfn.XLOOKUP(Base_CRM[[#This Row],[Cód do Cliente]],'[1]F &amp; O'!$A:$A,'[1]F &amp; O'!D:D,"Sem Finder",0,1)</f>
        <v>Sem Finder</v>
      </c>
      <c r="S240" s="11" t="str">
        <f>_xlfn.XLOOKUP(Base_CRM[[#This Row],[Cód do Cliente]],'[1]F &amp; O'!$A:$A,'[1]F &amp; O'!E:E,"Sem Canal",0,1)</f>
        <v>Sem Canal</v>
      </c>
      <c r="T240" s="11" t="str">
        <f t="shared" si="3"/>
        <v>Cliente XP</v>
      </c>
    </row>
    <row r="241" spans="1:20" x14ac:dyDescent="0.3">
      <c r="A241">
        <v>2223215</v>
      </c>
      <c r="B241" s="8" t="s">
        <v>595</v>
      </c>
      <c r="C241" s="9" t="s">
        <v>39</v>
      </c>
      <c r="D241" s="8">
        <v>386006.86</v>
      </c>
      <c r="E241">
        <v>1000000</v>
      </c>
      <c r="F241" t="s">
        <v>22</v>
      </c>
      <c r="G241" t="s">
        <v>96</v>
      </c>
      <c r="H241" s="10">
        <v>35177</v>
      </c>
      <c r="I241" s="10" t="s">
        <v>31</v>
      </c>
      <c r="K241" t="s">
        <v>25</v>
      </c>
      <c r="L241" t="s">
        <v>596</v>
      </c>
      <c r="N241" s="11" t="str">
        <f>Base_CRM[[#This Row],[Cidade]]&amp;"/"&amp;Base_CRM[[#This Row],[Estado]]</f>
        <v>SAO PAULO/</v>
      </c>
      <c r="O241" s="12">
        <f>IFERROR(IF(Base_CRM[[#This Row],[PL Tailor]]&gt;Base_CRM[[#This Row],[PL Declarado]],1,Base_CRM[[#This Row],[PL Tailor]]/Base_CRM[[#This Row],[PL Declarado]]),0)</f>
        <v>0.38600686000000001</v>
      </c>
      <c r="P241" s="11" t="str">
        <f>IF(Base_CRM[[#This Row],[Estado Civil]]="","PESSOA JURÍDICA","PESSOA FÍSICA")</f>
        <v>PESSOA FÍSICA</v>
      </c>
      <c r="Q241" t="str">
        <f>_xlfn.XLOOKUP(Base_CRM[[#This Row],[Cód do Cliente]],'[1]F &amp; O'!$A:$A,'[1]F &amp; O'!$F:$F,_xlfn.XLOOKUP(Base_CRM[[#This Row],[Assessor]],[1]DePara!$A:$A,[1]DePara!$D:$D,"Outros",0,1),0,1)</f>
        <v>Gestora</v>
      </c>
      <c r="R241" s="11" t="str">
        <f>_xlfn.XLOOKUP(Base_CRM[[#This Row],[Cód do Cliente]],'[1]F &amp; O'!$A:$A,'[1]F &amp; O'!D:D,"Sem Finder",0,1)</f>
        <v>Sem Finder</v>
      </c>
      <c r="S241" s="11" t="str">
        <f>_xlfn.XLOOKUP(Base_CRM[[#This Row],[Cód do Cliente]],'[1]F &amp; O'!$A:$A,'[1]F &amp; O'!E:E,"Sem Canal",0,1)</f>
        <v>Gestora</v>
      </c>
      <c r="T241" s="11" t="str">
        <f t="shared" si="3"/>
        <v>Cliente XP</v>
      </c>
    </row>
    <row r="242" spans="1:20" x14ac:dyDescent="0.3">
      <c r="A242">
        <v>2224957</v>
      </c>
      <c r="B242" s="8" t="s">
        <v>597</v>
      </c>
      <c r="C242" s="9" t="s">
        <v>48</v>
      </c>
      <c r="D242" s="8">
        <v>4468656.3499999996</v>
      </c>
      <c r="E242">
        <v>4500000</v>
      </c>
      <c r="F242" t="s">
        <v>22</v>
      </c>
      <c r="G242" t="s">
        <v>30</v>
      </c>
      <c r="H242" s="10">
        <v>27376</v>
      </c>
      <c r="I242" s="10" t="s">
        <v>31</v>
      </c>
      <c r="K242" t="s">
        <v>68</v>
      </c>
      <c r="L242" t="s">
        <v>598</v>
      </c>
      <c r="M242" t="s">
        <v>599</v>
      </c>
      <c r="N242" s="11" t="str">
        <f>Base_CRM[[#This Row],[Cidade]]&amp;"/"&amp;Base_CRM[[#This Row],[Estado]]</f>
        <v>SAO PAULO/</v>
      </c>
      <c r="O242" s="12">
        <f>IFERROR(IF(Base_CRM[[#This Row],[PL Tailor]]&gt;Base_CRM[[#This Row],[PL Declarado]],1,Base_CRM[[#This Row],[PL Tailor]]/Base_CRM[[#This Row],[PL Declarado]]),0)</f>
        <v>0.99303474444444439</v>
      </c>
      <c r="P242" s="11" t="str">
        <f>IF(Base_CRM[[#This Row],[Estado Civil]]="","PESSOA JURÍDICA","PESSOA FÍSICA")</f>
        <v>PESSOA FÍSICA</v>
      </c>
      <c r="Q242" t="str">
        <f>_xlfn.XLOOKUP(Base_CRM[[#This Row],[Cód do Cliente]],'[1]F &amp; O'!$A:$A,'[1]F &amp; O'!$F:$F,_xlfn.XLOOKUP(Base_CRM[[#This Row],[Assessor]],[1]DePara!$A:$A,[1]DePara!$D:$D,"Outros",0,1),0,1)</f>
        <v>Raphael Farias</v>
      </c>
      <c r="R242" s="11" t="str">
        <f>_xlfn.XLOOKUP(Base_CRM[[#This Row],[Cód do Cliente]],'[1]F &amp; O'!$A:$A,'[1]F &amp; O'!D:D,"Sem Finder",0,1)</f>
        <v>Sem Finder</v>
      </c>
      <c r="S242" s="11" t="str">
        <f>_xlfn.XLOOKUP(Base_CRM[[#This Row],[Cód do Cliente]],'[1]F &amp; O'!$A:$A,'[1]F &amp; O'!E:E,"Sem Canal",0,1)</f>
        <v>Sem Canal</v>
      </c>
      <c r="T242" s="11" t="str">
        <f t="shared" si="3"/>
        <v>Cliente XP</v>
      </c>
    </row>
    <row r="243" spans="1:20" x14ac:dyDescent="0.3">
      <c r="A243">
        <v>2227027</v>
      </c>
      <c r="B243" s="8" t="s">
        <v>600</v>
      </c>
      <c r="C243" s="9" t="s">
        <v>39</v>
      </c>
      <c r="D243" s="8">
        <v>200393.48</v>
      </c>
      <c r="E243">
        <v>1000000</v>
      </c>
      <c r="F243" t="s">
        <v>22</v>
      </c>
      <c r="G243" t="s">
        <v>45</v>
      </c>
      <c r="H243" s="10">
        <v>36778</v>
      </c>
      <c r="I243" s="10" t="s">
        <v>31</v>
      </c>
      <c r="K243" t="s">
        <v>25</v>
      </c>
      <c r="L243" t="s">
        <v>601</v>
      </c>
      <c r="N243" s="11" t="str">
        <f>Base_CRM[[#This Row],[Cidade]]&amp;"/"&amp;Base_CRM[[#This Row],[Estado]]</f>
        <v>SAO PAULO/</v>
      </c>
      <c r="O243" s="12">
        <f>IFERROR(IF(Base_CRM[[#This Row],[PL Tailor]]&gt;Base_CRM[[#This Row],[PL Declarado]],1,Base_CRM[[#This Row],[PL Tailor]]/Base_CRM[[#This Row],[PL Declarado]]),0)</f>
        <v>0.20039348000000001</v>
      </c>
      <c r="P243" s="11" t="str">
        <f>IF(Base_CRM[[#This Row],[Estado Civil]]="","PESSOA JURÍDICA","PESSOA FÍSICA")</f>
        <v>PESSOA FÍSICA</v>
      </c>
      <c r="Q243" t="str">
        <f>_xlfn.XLOOKUP(Base_CRM[[#This Row],[Cód do Cliente]],'[1]F &amp; O'!$A:$A,'[1]F &amp; O'!$F:$F,_xlfn.XLOOKUP(Base_CRM[[#This Row],[Assessor]],[1]DePara!$A:$A,[1]DePara!$D:$D,"Outros",0,1),0,1)</f>
        <v>Gestora</v>
      </c>
      <c r="R243" s="11" t="str">
        <f>_xlfn.XLOOKUP(Base_CRM[[#This Row],[Cód do Cliente]],'[1]F &amp; O'!$A:$A,'[1]F &amp; O'!D:D,"Sem Finder",0,1)</f>
        <v>Sem Finder</v>
      </c>
      <c r="S243" s="11" t="str">
        <f>_xlfn.XLOOKUP(Base_CRM[[#This Row],[Cód do Cliente]],'[1]F &amp; O'!$A:$A,'[1]F &amp; O'!E:E,"Sem Canal",0,1)</f>
        <v>Gestora</v>
      </c>
      <c r="T243" s="11" t="str">
        <f t="shared" si="3"/>
        <v>Cliente XP</v>
      </c>
    </row>
    <row r="244" spans="1:20" x14ac:dyDescent="0.3">
      <c r="A244">
        <v>2231065</v>
      </c>
      <c r="B244" s="8" t="s">
        <v>602</v>
      </c>
      <c r="C244" s="9" t="s">
        <v>48</v>
      </c>
      <c r="D244" s="8">
        <v>199944.39</v>
      </c>
      <c r="E244">
        <v>25000</v>
      </c>
      <c r="F244" t="s">
        <v>22</v>
      </c>
      <c r="G244" t="s">
        <v>87</v>
      </c>
      <c r="H244" s="10">
        <v>32428</v>
      </c>
      <c r="I244" s="10" t="s">
        <v>31</v>
      </c>
      <c r="K244" t="s">
        <v>25</v>
      </c>
      <c r="L244" t="s">
        <v>603</v>
      </c>
      <c r="M244" t="s">
        <v>64</v>
      </c>
      <c r="N244" s="11" t="str">
        <f>Base_CRM[[#This Row],[Cidade]]&amp;"/"&amp;Base_CRM[[#This Row],[Estado]]</f>
        <v>SAO PAULO/</v>
      </c>
      <c r="O244" s="12">
        <f>IFERROR(IF(Base_CRM[[#This Row],[PL Tailor]]&gt;Base_CRM[[#This Row],[PL Declarado]],1,Base_CRM[[#This Row],[PL Tailor]]/Base_CRM[[#This Row],[PL Declarado]]),0)</f>
        <v>1</v>
      </c>
      <c r="P244" s="11" t="str">
        <f>IF(Base_CRM[[#This Row],[Estado Civil]]="","PESSOA JURÍDICA","PESSOA FÍSICA")</f>
        <v>PESSOA FÍSICA</v>
      </c>
      <c r="Q244" t="str">
        <f>_xlfn.XLOOKUP(Base_CRM[[#This Row],[Cód do Cliente]],'[1]F &amp; O'!$A:$A,'[1]F &amp; O'!$F:$F,_xlfn.XLOOKUP(Base_CRM[[#This Row],[Assessor]],[1]DePara!$A:$A,[1]DePara!$D:$D,"Outros",0,1),0,1)</f>
        <v>Raphael Farias</v>
      </c>
      <c r="R244" s="11" t="str">
        <f>_xlfn.XLOOKUP(Base_CRM[[#This Row],[Cód do Cliente]],'[1]F &amp; O'!$A:$A,'[1]F &amp; O'!D:D,"Sem Finder",0,1)</f>
        <v>Sem Finder</v>
      </c>
      <c r="S244" s="11" t="str">
        <f>_xlfn.XLOOKUP(Base_CRM[[#This Row],[Cód do Cliente]],'[1]F &amp; O'!$A:$A,'[1]F &amp; O'!E:E,"Sem Canal",0,1)</f>
        <v>Sem Canal</v>
      </c>
      <c r="T244" s="11" t="str">
        <f t="shared" si="3"/>
        <v>Cliente XP</v>
      </c>
    </row>
    <row r="245" spans="1:20" x14ac:dyDescent="0.3">
      <c r="A245">
        <v>2233748</v>
      </c>
      <c r="B245" s="8" t="s">
        <v>604</v>
      </c>
      <c r="C245" s="9" t="s">
        <v>34</v>
      </c>
      <c r="D245" s="8">
        <v>0</v>
      </c>
      <c r="E245">
        <v>395000</v>
      </c>
      <c r="F245" t="s">
        <v>22</v>
      </c>
      <c r="G245" t="s">
        <v>291</v>
      </c>
      <c r="H245" s="10">
        <v>33548</v>
      </c>
      <c r="I245" s="10" t="s">
        <v>31</v>
      </c>
      <c r="K245" t="s">
        <v>25</v>
      </c>
      <c r="L245" t="s">
        <v>605</v>
      </c>
      <c r="N245" s="11" t="str">
        <f>Base_CRM[[#This Row],[Cidade]]&amp;"/"&amp;Base_CRM[[#This Row],[Estado]]</f>
        <v>SAO PAULO/</v>
      </c>
      <c r="O245" s="12">
        <f>IFERROR(IF(Base_CRM[[#This Row],[PL Tailor]]&gt;Base_CRM[[#This Row],[PL Declarado]],1,Base_CRM[[#This Row],[PL Tailor]]/Base_CRM[[#This Row],[PL Declarado]]),0)</f>
        <v>0</v>
      </c>
      <c r="P245" s="11" t="str">
        <f>IF(Base_CRM[[#This Row],[Estado Civil]]="","PESSOA JURÍDICA","PESSOA FÍSICA")</f>
        <v>PESSOA FÍSICA</v>
      </c>
      <c r="Q245" t="str">
        <f>_xlfn.XLOOKUP(Base_CRM[[#This Row],[Cód do Cliente]],'[1]F &amp; O'!$A:$A,'[1]F &amp; O'!$F:$F,_xlfn.XLOOKUP(Base_CRM[[#This Row],[Assessor]],[1]DePara!$A:$A,[1]DePara!$D:$D,"Outros",0,1),0,1)</f>
        <v>Adonias Noronha</v>
      </c>
      <c r="R245" s="11" t="str">
        <f>_xlfn.XLOOKUP(Base_CRM[[#This Row],[Cód do Cliente]],'[1]F &amp; O'!$A:$A,'[1]F &amp; O'!D:D,"Sem Finder",0,1)</f>
        <v>Sem Finder</v>
      </c>
      <c r="S245" s="11" t="str">
        <f>_xlfn.XLOOKUP(Base_CRM[[#This Row],[Cód do Cliente]],'[1]F &amp; O'!$A:$A,'[1]F &amp; O'!E:E,"Sem Canal",0,1)</f>
        <v>Sem Canal</v>
      </c>
      <c r="T245" s="11" t="str">
        <f t="shared" si="3"/>
        <v>Cliente XP</v>
      </c>
    </row>
    <row r="246" spans="1:20" x14ac:dyDescent="0.3">
      <c r="A246">
        <v>224341</v>
      </c>
      <c r="B246" s="8" t="s">
        <v>606</v>
      </c>
      <c r="C246" s="9" t="s">
        <v>48</v>
      </c>
      <c r="D246" s="8">
        <v>6279399.6399999997</v>
      </c>
      <c r="E246">
        <v>5000000</v>
      </c>
      <c r="F246" t="s">
        <v>22</v>
      </c>
      <c r="G246" t="s">
        <v>87</v>
      </c>
      <c r="H246" s="10">
        <v>32573</v>
      </c>
      <c r="I246" s="10" t="s">
        <v>349</v>
      </c>
      <c r="K246" t="s">
        <v>25</v>
      </c>
      <c r="L246" t="s">
        <v>607</v>
      </c>
      <c r="M246" t="s">
        <v>64</v>
      </c>
      <c r="N246" s="11" t="str">
        <f>Base_CRM[[#This Row],[Cidade]]&amp;"/"&amp;Base_CRM[[#This Row],[Estado]]</f>
        <v>São Paulo/</v>
      </c>
      <c r="O246" s="12">
        <f>IFERROR(IF(Base_CRM[[#This Row],[PL Tailor]]&gt;Base_CRM[[#This Row],[PL Declarado]],1,Base_CRM[[#This Row],[PL Tailor]]/Base_CRM[[#This Row],[PL Declarado]]),0)</f>
        <v>1</v>
      </c>
      <c r="P246" s="11" t="str">
        <f>IF(Base_CRM[[#This Row],[Estado Civil]]="","PESSOA JURÍDICA","PESSOA FÍSICA")</f>
        <v>PESSOA FÍSICA</v>
      </c>
      <c r="Q246" t="str">
        <f>_xlfn.XLOOKUP(Base_CRM[[#This Row],[Cód do Cliente]],'[1]F &amp; O'!$A:$A,'[1]F &amp; O'!$F:$F,_xlfn.XLOOKUP(Base_CRM[[#This Row],[Assessor]],[1]DePara!$A:$A,[1]DePara!$D:$D,"Outros",0,1),0,1)</f>
        <v>Raphael Farias</v>
      </c>
      <c r="R246" s="11" t="str">
        <f>_xlfn.XLOOKUP(Base_CRM[[#This Row],[Cód do Cliente]],'[1]F &amp; O'!$A:$A,'[1]F &amp; O'!D:D,"Sem Finder",0,1)</f>
        <v>Sem Finder</v>
      </c>
      <c r="S246" s="11" t="str">
        <f>_xlfn.XLOOKUP(Base_CRM[[#This Row],[Cód do Cliente]],'[1]F &amp; O'!$A:$A,'[1]F &amp; O'!E:E,"Sem Canal",0,1)</f>
        <v>Sem Canal</v>
      </c>
      <c r="T246" s="11" t="str">
        <f t="shared" si="3"/>
        <v>Cliente XP</v>
      </c>
    </row>
    <row r="247" spans="1:20" x14ac:dyDescent="0.3">
      <c r="A247">
        <v>2246319</v>
      </c>
      <c r="B247" s="8" t="s">
        <v>608</v>
      </c>
      <c r="C247" s="9" t="s">
        <v>39</v>
      </c>
      <c r="D247" s="8">
        <v>1697722.07</v>
      </c>
      <c r="E247">
        <v>1000000</v>
      </c>
      <c r="F247" t="s">
        <v>22</v>
      </c>
      <c r="G247" t="s">
        <v>35</v>
      </c>
      <c r="H247" s="10">
        <v>32311</v>
      </c>
      <c r="I247" s="10" t="s">
        <v>31</v>
      </c>
      <c r="K247" t="s">
        <v>25</v>
      </c>
      <c r="L247" t="s">
        <v>609</v>
      </c>
      <c r="N247" s="11" t="str">
        <f>Base_CRM[[#This Row],[Cidade]]&amp;"/"&amp;Base_CRM[[#This Row],[Estado]]</f>
        <v>SAO PAULO/</v>
      </c>
      <c r="O247" s="12">
        <f>IFERROR(IF(Base_CRM[[#This Row],[PL Tailor]]&gt;Base_CRM[[#This Row],[PL Declarado]],1,Base_CRM[[#This Row],[PL Tailor]]/Base_CRM[[#This Row],[PL Declarado]]),0)</f>
        <v>1</v>
      </c>
      <c r="P247" s="11" t="str">
        <f>IF(Base_CRM[[#This Row],[Estado Civil]]="","PESSOA JURÍDICA","PESSOA FÍSICA")</f>
        <v>PESSOA FÍSICA</v>
      </c>
      <c r="Q247" t="str">
        <f>_xlfn.XLOOKUP(Base_CRM[[#This Row],[Cód do Cliente]],'[1]F &amp; O'!$A:$A,'[1]F &amp; O'!$F:$F,_xlfn.XLOOKUP(Base_CRM[[#This Row],[Assessor]],[1]DePara!$A:$A,[1]DePara!$D:$D,"Outros",0,1),0,1)</f>
        <v>Gestora</v>
      </c>
      <c r="R247" s="11" t="str">
        <f>_xlfn.XLOOKUP(Base_CRM[[#This Row],[Cód do Cliente]],'[1]F &amp; O'!$A:$A,'[1]F &amp; O'!D:D,"Sem Finder",0,1)</f>
        <v>Sem Finder</v>
      </c>
      <c r="S247" s="11" t="str">
        <f>_xlfn.XLOOKUP(Base_CRM[[#This Row],[Cód do Cliente]],'[1]F &amp; O'!$A:$A,'[1]F &amp; O'!E:E,"Sem Canal",0,1)</f>
        <v>Gestora</v>
      </c>
      <c r="T247" s="11" t="str">
        <f t="shared" si="3"/>
        <v>Cliente XP</v>
      </c>
    </row>
    <row r="248" spans="1:20" x14ac:dyDescent="0.3">
      <c r="A248">
        <v>2249287</v>
      </c>
      <c r="B248" s="8" t="s">
        <v>33</v>
      </c>
      <c r="C248" s="9" t="s">
        <v>34</v>
      </c>
      <c r="D248" s="8">
        <v>216686.33</v>
      </c>
      <c r="E248">
        <v>2000000</v>
      </c>
      <c r="F248" t="s">
        <v>22</v>
      </c>
      <c r="G248" t="s">
        <v>35</v>
      </c>
      <c r="H248" s="10">
        <v>31706</v>
      </c>
      <c r="I248" s="10" t="s">
        <v>36</v>
      </c>
      <c r="K248" t="s">
        <v>25</v>
      </c>
      <c r="L248" t="s">
        <v>37</v>
      </c>
      <c r="N248" s="11" t="str">
        <f>Base_CRM[[#This Row],[Cidade]]&amp;"/"&amp;Base_CRM[[#This Row],[Estado]]</f>
        <v>BRASOPOLIS/</v>
      </c>
      <c r="O248" s="12">
        <f>IFERROR(IF(Base_CRM[[#This Row],[PL Tailor]]&gt;Base_CRM[[#This Row],[PL Declarado]],1,Base_CRM[[#This Row],[PL Tailor]]/Base_CRM[[#This Row],[PL Declarado]]),0)</f>
        <v>0.10834316499999999</v>
      </c>
      <c r="P248" s="11" t="str">
        <f>IF(Base_CRM[[#This Row],[Estado Civil]]="","PESSOA JURÍDICA","PESSOA FÍSICA")</f>
        <v>PESSOA FÍSICA</v>
      </c>
      <c r="Q248" t="str">
        <f>_xlfn.XLOOKUP(Base_CRM[[#This Row],[Cód do Cliente]],'[1]F &amp; O'!$A:$A,'[1]F &amp; O'!$F:$F,_xlfn.XLOOKUP(Base_CRM[[#This Row],[Assessor]],[1]DePara!$A:$A,[1]DePara!$D:$D,"Outros",0,1),0,1)</f>
        <v>Adonias Noronha</v>
      </c>
      <c r="R248" s="11" t="str">
        <f>_xlfn.XLOOKUP(Base_CRM[[#This Row],[Cód do Cliente]],'[1]F &amp; O'!$A:$A,'[1]F &amp; O'!D:D,"Sem Finder",0,1)</f>
        <v>Sem Finder</v>
      </c>
      <c r="S248" s="11" t="str">
        <f>_xlfn.XLOOKUP(Base_CRM[[#This Row],[Cód do Cliente]],'[1]F &amp; O'!$A:$A,'[1]F &amp; O'!E:E,"Sem Canal",0,1)</f>
        <v>Sem Canal</v>
      </c>
      <c r="T248" s="11" t="str">
        <f t="shared" si="3"/>
        <v>Cliente XP</v>
      </c>
    </row>
    <row r="249" spans="1:20" x14ac:dyDescent="0.3">
      <c r="A249">
        <v>2250494</v>
      </c>
      <c r="B249" s="8" t="s">
        <v>610</v>
      </c>
      <c r="C249" s="9" t="s">
        <v>21</v>
      </c>
      <c r="D249" s="8">
        <v>0</v>
      </c>
      <c r="E249">
        <v>10000000</v>
      </c>
      <c r="F249" t="s">
        <v>22</v>
      </c>
      <c r="G249" t="s">
        <v>96</v>
      </c>
      <c r="H249" s="10">
        <v>34167</v>
      </c>
      <c r="I249" s="10" t="s">
        <v>24</v>
      </c>
      <c r="K249" t="s">
        <v>25</v>
      </c>
      <c r="L249" t="s">
        <v>611</v>
      </c>
      <c r="M249" t="s">
        <v>64</v>
      </c>
      <c r="N249" s="11" t="str">
        <f>Base_CRM[[#This Row],[Cidade]]&amp;"/"&amp;Base_CRM[[#This Row],[Estado]]</f>
        <v>RIO DE JANEIRO/</v>
      </c>
      <c r="O249" s="12">
        <f>IFERROR(IF(Base_CRM[[#This Row],[PL Tailor]]&gt;Base_CRM[[#This Row],[PL Declarado]],1,Base_CRM[[#This Row],[PL Tailor]]/Base_CRM[[#This Row],[PL Declarado]]),0)</f>
        <v>0</v>
      </c>
      <c r="P249" s="11" t="str">
        <f>IF(Base_CRM[[#This Row],[Estado Civil]]="","PESSOA JURÍDICA","PESSOA FÍSICA")</f>
        <v>PESSOA FÍSICA</v>
      </c>
      <c r="Q249" t="str">
        <f>_xlfn.XLOOKUP(Base_CRM[[#This Row],[Cód do Cliente]],'[1]F &amp; O'!$A:$A,'[1]F &amp; O'!$F:$F,_xlfn.XLOOKUP(Base_CRM[[#This Row],[Assessor]],[1]DePara!$A:$A,[1]DePara!$D:$D,"Outros",0,1),0,1)</f>
        <v>Leonardo Burle</v>
      </c>
      <c r="R249" s="11" t="str">
        <f>_xlfn.XLOOKUP(Base_CRM[[#This Row],[Cód do Cliente]],'[1]F &amp; O'!$A:$A,'[1]F &amp; O'!D:D,"Sem Finder",0,1)</f>
        <v>Sem Finder</v>
      </c>
      <c r="S249" s="11" t="str">
        <f>_xlfn.XLOOKUP(Base_CRM[[#This Row],[Cód do Cliente]],'[1]F &amp; O'!$A:$A,'[1]F &amp; O'!E:E,"Sem Canal",0,1)</f>
        <v>Sem Canal</v>
      </c>
      <c r="T249" s="11" t="str">
        <f t="shared" si="3"/>
        <v>Cliente XP</v>
      </c>
    </row>
    <row r="250" spans="1:20" x14ac:dyDescent="0.3">
      <c r="A250">
        <v>2253996</v>
      </c>
      <c r="B250" s="8" t="s">
        <v>612</v>
      </c>
      <c r="C250" s="9" t="s">
        <v>39</v>
      </c>
      <c r="D250" s="8">
        <v>3504967.39</v>
      </c>
      <c r="E250">
        <v>4244999.5</v>
      </c>
      <c r="F250" t="s">
        <v>22</v>
      </c>
      <c r="G250" t="s">
        <v>52</v>
      </c>
      <c r="H250" s="10">
        <v>27377</v>
      </c>
      <c r="I250" s="10" t="s">
        <v>229</v>
      </c>
      <c r="K250" t="s">
        <v>68</v>
      </c>
      <c r="L250" t="s">
        <v>613</v>
      </c>
      <c r="N250" s="11" t="str">
        <f>Base_CRM[[#This Row],[Cidade]]&amp;"/"&amp;Base_CRM[[#This Row],[Estado]]</f>
        <v>CURITIBA/</v>
      </c>
      <c r="O250" s="12">
        <f>IFERROR(IF(Base_CRM[[#This Row],[PL Tailor]]&gt;Base_CRM[[#This Row],[PL Declarado]],1,Base_CRM[[#This Row],[PL Tailor]]/Base_CRM[[#This Row],[PL Declarado]]),0)</f>
        <v>0.82566968264660578</v>
      </c>
      <c r="P250" s="11" t="str">
        <f>IF(Base_CRM[[#This Row],[Estado Civil]]="","PESSOA JURÍDICA","PESSOA FÍSICA")</f>
        <v>PESSOA FÍSICA</v>
      </c>
      <c r="Q250" t="str">
        <f>_xlfn.XLOOKUP(Base_CRM[[#This Row],[Cód do Cliente]],'[1]F &amp; O'!$A:$A,'[1]F &amp; O'!$F:$F,_xlfn.XLOOKUP(Base_CRM[[#This Row],[Assessor]],[1]DePara!$A:$A,[1]DePara!$D:$D,"Outros",0,1),0,1)</f>
        <v>Gestora</v>
      </c>
      <c r="R250" s="11" t="str">
        <f>_xlfn.XLOOKUP(Base_CRM[[#This Row],[Cód do Cliente]],'[1]F &amp; O'!$A:$A,'[1]F &amp; O'!D:D,"Sem Finder",0,1)</f>
        <v>Sem Finder</v>
      </c>
      <c r="S250" s="11" t="str">
        <f>_xlfn.XLOOKUP(Base_CRM[[#This Row],[Cód do Cliente]],'[1]F &amp; O'!$A:$A,'[1]F &amp; O'!E:E,"Sem Canal",0,1)</f>
        <v>Gestora</v>
      </c>
      <c r="T250" s="11" t="str">
        <f t="shared" si="3"/>
        <v>Cliente XP</v>
      </c>
    </row>
    <row r="251" spans="1:20" x14ac:dyDescent="0.3">
      <c r="A251">
        <v>2261344</v>
      </c>
      <c r="B251" s="8" t="s">
        <v>614</v>
      </c>
      <c r="C251" s="9" t="s">
        <v>103</v>
      </c>
      <c r="D251" s="8">
        <v>952749.32</v>
      </c>
      <c r="E251">
        <v>1050000</v>
      </c>
      <c r="F251" t="s">
        <v>22</v>
      </c>
      <c r="H251" s="10">
        <v>22306</v>
      </c>
      <c r="I251" s="10" t="s">
        <v>24</v>
      </c>
      <c r="K251" t="s">
        <v>42</v>
      </c>
      <c r="L251" t="s">
        <v>615</v>
      </c>
      <c r="N251" s="11" t="str">
        <f>Base_CRM[[#This Row],[Cidade]]&amp;"/"&amp;Base_CRM[[#This Row],[Estado]]</f>
        <v>RIO DE JANEIRO/</v>
      </c>
      <c r="O251" s="12">
        <f>IFERROR(IF(Base_CRM[[#This Row],[PL Tailor]]&gt;Base_CRM[[#This Row],[PL Declarado]],1,Base_CRM[[#This Row],[PL Tailor]]/Base_CRM[[#This Row],[PL Declarado]]),0)</f>
        <v>0.90738030476190468</v>
      </c>
      <c r="P251" s="11" t="str">
        <f>IF(Base_CRM[[#This Row],[Estado Civil]]="","PESSOA JURÍDICA","PESSOA FÍSICA")</f>
        <v>PESSOA FÍSICA</v>
      </c>
      <c r="Q251" t="str">
        <f>_xlfn.XLOOKUP(Base_CRM[[#This Row],[Cód do Cliente]],'[1]F &amp; O'!$A:$A,'[1]F &amp; O'!$F:$F,_xlfn.XLOOKUP(Base_CRM[[#This Row],[Assessor]],[1]DePara!$A:$A,[1]DePara!$D:$D,"Outros",0,1),0,1)</f>
        <v>Raphael Pereira</v>
      </c>
      <c r="R251" s="11" t="str">
        <f>_xlfn.XLOOKUP(Base_CRM[[#This Row],[Cód do Cliente]],'[1]F &amp; O'!$A:$A,'[1]F &amp; O'!D:D,"Sem Finder",0,1)</f>
        <v>Sem Finder</v>
      </c>
      <c r="S251" s="11" t="str">
        <f>_xlfn.XLOOKUP(Base_CRM[[#This Row],[Cód do Cliente]],'[1]F &amp; O'!$A:$A,'[1]F &amp; O'!E:E,"Sem Canal",0,1)</f>
        <v>Sem Canal</v>
      </c>
      <c r="T251" s="11" t="str">
        <f t="shared" si="3"/>
        <v>Cliente XP</v>
      </c>
    </row>
    <row r="252" spans="1:20" x14ac:dyDescent="0.3">
      <c r="A252">
        <v>2264806</v>
      </c>
      <c r="B252" s="8" t="s">
        <v>616</v>
      </c>
      <c r="C252" s="9" t="s">
        <v>21</v>
      </c>
      <c r="D252" s="8">
        <v>1506392.43</v>
      </c>
      <c r="E252">
        <v>30000</v>
      </c>
      <c r="F252" t="s">
        <v>22</v>
      </c>
      <c r="G252" t="s">
        <v>67</v>
      </c>
      <c r="H252" s="10">
        <v>23275</v>
      </c>
      <c r="I252" s="10" t="s">
        <v>24</v>
      </c>
      <c r="K252" t="s">
        <v>250</v>
      </c>
      <c r="L252" t="s">
        <v>617</v>
      </c>
      <c r="M252" t="s">
        <v>618</v>
      </c>
      <c r="N252" s="11" t="str">
        <f>Base_CRM[[#This Row],[Cidade]]&amp;"/"&amp;Base_CRM[[#This Row],[Estado]]</f>
        <v>RIO DE JANEIRO/</v>
      </c>
      <c r="O252" s="12">
        <f>IFERROR(IF(Base_CRM[[#This Row],[PL Tailor]]&gt;Base_CRM[[#This Row],[PL Declarado]],1,Base_CRM[[#This Row],[PL Tailor]]/Base_CRM[[#This Row],[PL Declarado]]),0)</f>
        <v>1</v>
      </c>
      <c r="P252" s="11" t="str">
        <f>IF(Base_CRM[[#This Row],[Estado Civil]]="","PESSOA JURÍDICA","PESSOA FÍSICA")</f>
        <v>PESSOA FÍSICA</v>
      </c>
      <c r="Q252" t="str">
        <f>_xlfn.XLOOKUP(Base_CRM[[#This Row],[Cód do Cliente]],'[1]F &amp; O'!$A:$A,'[1]F &amp; O'!$F:$F,_xlfn.XLOOKUP(Base_CRM[[#This Row],[Assessor]],[1]DePara!$A:$A,[1]DePara!$D:$D,"Outros",0,1),0,1)</f>
        <v>Leonardo Burle</v>
      </c>
      <c r="R252" s="11" t="str">
        <f>_xlfn.XLOOKUP(Base_CRM[[#This Row],[Cód do Cliente]],'[1]F &amp; O'!$A:$A,'[1]F &amp; O'!D:D,"Sem Finder",0,1)</f>
        <v>Sem Finder</v>
      </c>
      <c r="S252" s="11" t="str">
        <f>_xlfn.XLOOKUP(Base_CRM[[#This Row],[Cód do Cliente]],'[1]F &amp; O'!$A:$A,'[1]F &amp; O'!E:E,"Sem Canal",0,1)</f>
        <v>Sem Canal</v>
      </c>
      <c r="T252" s="11" t="str">
        <f t="shared" si="3"/>
        <v>Cliente XP</v>
      </c>
    </row>
    <row r="253" spans="1:20" x14ac:dyDescent="0.3">
      <c r="A253">
        <v>2268550</v>
      </c>
      <c r="B253" s="8" t="s">
        <v>619</v>
      </c>
      <c r="C253" s="9" t="s">
        <v>48</v>
      </c>
      <c r="D253" s="8">
        <v>513237.32</v>
      </c>
      <c r="E253">
        <v>1000000</v>
      </c>
      <c r="F253" t="s">
        <v>22</v>
      </c>
      <c r="G253" t="s">
        <v>87</v>
      </c>
      <c r="H253" s="10">
        <v>31992</v>
      </c>
      <c r="I253" s="10" t="s">
        <v>349</v>
      </c>
      <c r="K253" t="s">
        <v>25</v>
      </c>
      <c r="L253" t="s">
        <v>620</v>
      </c>
      <c r="N253" s="11" t="str">
        <f>Base_CRM[[#This Row],[Cidade]]&amp;"/"&amp;Base_CRM[[#This Row],[Estado]]</f>
        <v>São Paulo/</v>
      </c>
      <c r="O253" s="12">
        <f>IFERROR(IF(Base_CRM[[#This Row],[PL Tailor]]&gt;Base_CRM[[#This Row],[PL Declarado]],1,Base_CRM[[#This Row],[PL Tailor]]/Base_CRM[[#This Row],[PL Declarado]]),0)</f>
        <v>0.51323732</v>
      </c>
      <c r="P253" s="11" t="str">
        <f>IF(Base_CRM[[#This Row],[Estado Civil]]="","PESSOA JURÍDICA","PESSOA FÍSICA")</f>
        <v>PESSOA FÍSICA</v>
      </c>
      <c r="Q253" t="str">
        <f>_xlfn.XLOOKUP(Base_CRM[[#This Row],[Cód do Cliente]],'[1]F &amp; O'!$A:$A,'[1]F &amp; O'!$F:$F,_xlfn.XLOOKUP(Base_CRM[[#This Row],[Assessor]],[1]DePara!$A:$A,[1]DePara!$D:$D,"Outros",0,1),0,1)</f>
        <v>Raphael Farias</v>
      </c>
      <c r="R253" s="11" t="str">
        <f>_xlfn.XLOOKUP(Base_CRM[[#This Row],[Cód do Cliente]],'[1]F &amp; O'!$A:$A,'[1]F &amp; O'!D:D,"Sem Finder",0,1)</f>
        <v>Pedro Chagas</v>
      </c>
      <c r="S253" s="11" t="str">
        <f>_xlfn.XLOOKUP(Base_CRM[[#This Row],[Cód do Cliente]],'[1]F &amp; O'!$A:$A,'[1]F &amp; O'!E:E,"Sem Canal",0,1)</f>
        <v>Gestora</v>
      </c>
      <c r="T253" s="11" t="str">
        <f t="shared" si="3"/>
        <v>Cliente XP</v>
      </c>
    </row>
    <row r="254" spans="1:20" x14ac:dyDescent="0.3">
      <c r="A254">
        <v>2269592</v>
      </c>
      <c r="B254" s="8" t="s">
        <v>621</v>
      </c>
      <c r="C254" s="9" t="s">
        <v>74</v>
      </c>
      <c r="D254" s="8">
        <v>5016.3900000000003</v>
      </c>
      <c r="E254">
        <v>25000</v>
      </c>
      <c r="F254" t="s">
        <v>29</v>
      </c>
      <c r="G254" t="s">
        <v>35</v>
      </c>
      <c r="H254" s="10">
        <v>29329</v>
      </c>
      <c r="I254" s="10" t="s">
        <v>24</v>
      </c>
      <c r="K254" t="s">
        <v>42</v>
      </c>
      <c r="L254" t="s">
        <v>622</v>
      </c>
      <c r="N254" s="11" t="str">
        <f>Base_CRM[[#This Row],[Cidade]]&amp;"/"&amp;Base_CRM[[#This Row],[Estado]]</f>
        <v>RIO DE JANEIRO/</v>
      </c>
      <c r="O254" s="12">
        <f>IFERROR(IF(Base_CRM[[#This Row],[PL Tailor]]&gt;Base_CRM[[#This Row],[PL Declarado]],1,Base_CRM[[#This Row],[PL Tailor]]/Base_CRM[[#This Row],[PL Declarado]]),0)</f>
        <v>0.20065560000000002</v>
      </c>
      <c r="P254" s="11" t="str">
        <f>IF(Base_CRM[[#This Row],[Estado Civil]]="","PESSOA JURÍDICA","PESSOA FÍSICA")</f>
        <v>PESSOA FÍSICA</v>
      </c>
      <c r="Q254" t="str">
        <f>_xlfn.XLOOKUP(Base_CRM[[#This Row],[Cód do Cliente]],'[1]F &amp; O'!$A:$A,'[1]F &amp; O'!$F:$F,_xlfn.XLOOKUP(Base_CRM[[#This Row],[Assessor]],[1]DePara!$A:$A,[1]DePara!$D:$D,"Outros",0,1),0,1)</f>
        <v>Thayane Freitas</v>
      </c>
      <c r="R254" s="11" t="str">
        <f>_xlfn.XLOOKUP(Base_CRM[[#This Row],[Cód do Cliente]],'[1]F &amp; O'!$A:$A,'[1]F &amp; O'!D:D,"Sem Finder",0,1)</f>
        <v>Sem Finder</v>
      </c>
      <c r="S254" s="11" t="str">
        <f>_xlfn.XLOOKUP(Base_CRM[[#This Row],[Cód do Cliente]],'[1]F &amp; O'!$A:$A,'[1]F &amp; O'!E:E,"Sem Canal",0,1)</f>
        <v>Sem Canal</v>
      </c>
      <c r="T254" s="11" t="str">
        <f t="shared" si="3"/>
        <v>Cliente XP</v>
      </c>
    </row>
    <row r="255" spans="1:20" x14ac:dyDescent="0.3">
      <c r="A255">
        <v>230285</v>
      </c>
      <c r="B255" s="8" t="s">
        <v>623</v>
      </c>
      <c r="C255" s="9" t="s">
        <v>39</v>
      </c>
      <c r="D255" s="8">
        <v>61160.53</v>
      </c>
      <c r="E255">
        <v>1000000</v>
      </c>
      <c r="F255" t="s">
        <v>29</v>
      </c>
      <c r="G255" t="s">
        <v>87</v>
      </c>
      <c r="H255" s="10">
        <v>32156</v>
      </c>
      <c r="I255" s="10" t="s">
        <v>115</v>
      </c>
      <c r="K255" t="s">
        <v>42</v>
      </c>
      <c r="L255" t="s">
        <v>624</v>
      </c>
      <c r="N255" s="11" t="str">
        <f>Base_CRM[[#This Row],[Cidade]]&amp;"/"&amp;Base_CRM[[#This Row],[Estado]]</f>
        <v>BARUERI/</v>
      </c>
      <c r="O255" s="12">
        <f>IFERROR(IF(Base_CRM[[#This Row],[PL Tailor]]&gt;Base_CRM[[#This Row],[PL Declarado]],1,Base_CRM[[#This Row],[PL Tailor]]/Base_CRM[[#This Row],[PL Declarado]]),0)</f>
        <v>6.1160529999999998E-2</v>
      </c>
      <c r="P255" s="11" t="str">
        <f>IF(Base_CRM[[#This Row],[Estado Civil]]="","PESSOA JURÍDICA","PESSOA FÍSICA")</f>
        <v>PESSOA FÍSICA</v>
      </c>
      <c r="Q255" t="str">
        <f>_xlfn.XLOOKUP(Base_CRM[[#This Row],[Cód do Cliente]],'[1]F &amp; O'!$A:$A,'[1]F &amp; O'!$F:$F,_xlfn.XLOOKUP(Base_CRM[[#This Row],[Assessor]],[1]DePara!$A:$A,[1]DePara!$D:$D,"Outros",0,1),0,1)</f>
        <v>Gestora</v>
      </c>
      <c r="R255" s="11" t="str">
        <f>_xlfn.XLOOKUP(Base_CRM[[#This Row],[Cód do Cliente]],'[1]F &amp; O'!$A:$A,'[1]F &amp; O'!D:D,"Sem Finder",0,1)</f>
        <v>Sem Finder</v>
      </c>
      <c r="S255" s="11" t="str">
        <f>_xlfn.XLOOKUP(Base_CRM[[#This Row],[Cód do Cliente]],'[1]F &amp; O'!$A:$A,'[1]F &amp; O'!E:E,"Sem Canal",0,1)</f>
        <v>Gestora</v>
      </c>
      <c r="T255" s="11" t="str">
        <f t="shared" si="3"/>
        <v>Cliente XP</v>
      </c>
    </row>
    <row r="256" spans="1:20" x14ac:dyDescent="0.3">
      <c r="A256">
        <v>2307604</v>
      </c>
      <c r="B256" s="8" t="s">
        <v>625</v>
      </c>
      <c r="C256" s="9" t="s">
        <v>34</v>
      </c>
      <c r="D256" s="8">
        <v>312379.52000000002</v>
      </c>
      <c r="E256">
        <v>10000000</v>
      </c>
      <c r="F256" t="s">
        <v>22</v>
      </c>
      <c r="G256" t="s">
        <v>67</v>
      </c>
      <c r="H256" s="10">
        <v>29683</v>
      </c>
      <c r="I256" s="10" t="s">
        <v>24</v>
      </c>
      <c r="K256" t="s">
        <v>25</v>
      </c>
      <c r="L256" t="s">
        <v>626</v>
      </c>
      <c r="N256" s="11" t="str">
        <f>Base_CRM[[#This Row],[Cidade]]&amp;"/"&amp;Base_CRM[[#This Row],[Estado]]</f>
        <v>RIO DE JANEIRO/</v>
      </c>
      <c r="O256" s="12">
        <f>IFERROR(IF(Base_CRM[[#This Row],[PL Tailor]]&gt;Base_CRM[[#This Row],[PL Declarado]],1,Base_CRM[[#This Row],[PL Tailor]]/Base_CRM[[#This Row],[PL Declarado]]),0)</f>
        <v>3.1237952000000003E-2</v>
      </c>
      <c r="P256" s="11" t="str">
        <f>IF(Base_CRM[[#This Row],[Estado Civil]]="","PESSOA JURÍDICA","PESSOA FÍSICA")</f>
        <v>PESSOA FÍSICA</v>
      </c>
      <c r="Q256" t="str">
        <f>_xlfn.XLOOKUP(Base_CRM[[#This Row],[Cód do Cliente]],'[1]F &amp; O'!$A:$A,'[1]F &amp; O'!$F:$F,_xlfn.XLOOKUP(Base_CRM[[#This Row],[Assessor]],[1]DePara!$A:$A,[1]DePara!$D:$D,"Outros",0,1),0,1)</f>
        <v>Adonias Noronha</v>
      </c>
      <c r="R256" s="11" t="str">
        <f>_xlfn.XLOOKUP(Base_CRM[[#This Row],[Cód do Cliente]],'[1]F &amp; O'!$A:$A,'[1]F &amp; O'!D:D,"Sem Finder",0,1)</f>
        <v>Sem Finder</v>
      </c>
      <c r="S256" s="11" t="str">
        <f>_xlfn.XLOOKUP(Base_CRM[[#This Row],[Cód do Cliente]],'[1]F &amp; O'!$A:$A,'[1]F &amp; O'!E:E,"Sem Canal",0,1)</f>
        <v>Sem Canal</v>
      </c>
      <c r="T256" s="11" t="str">
        <f t="shared" si="3"/>
        <v>Cliente XP</v>
      </c>
    </row>
    <row r="257" spans="1:20" x14ac:dyDescent="0.3">
      <c r="A257">
        <v>2308688</v>
      </c>
      <c r="B257" s="8" t="s">
        <v>627</v>
      </c>
      <c r="C257" s="9" t="s">
        <v>74</v>
      </c>
      <c r="D257" s="8">
        <v>66589.03</v>
      </c>
      <c r="E257">
        <v>120000</v>
      </c>
      <c r="F257" t="s">
        <v>29</v>
      </c>
      <c r="G257" t="s">
        <v>35</v>
      </c>
      <c r="H257" s="10">
        <v>29211</v>
      </c>
      <c r="I257" s="10" t="s">
        <v>584</v>
      </c>
      <c r="K257" t="s">
        <v>42</v>
      </c>
      <c r="L257" t="s">
        <v>628</v>
      </c>
      <c r="M257" t="s">
        <v>77</v>
      </c>
      <c r="N257" s="11" t="str">
        <f>Base_CRM[[#This Row],[Cidade]]&amp;"/"&amp;Base_CRM[[#This Row],[Estado]]</f>
        <v>NOVA FRIBURGO/</v>
      </c>
      <c r="O257" s="12">
        <f>IFERROR(IF(Base_CRM[[#This Row],[PL Tailor]]&gt;Base_CRM[[#This Row],[PL Declarado]],1,Base_CRM[[#This Row],[PL Tailor]]/Base_CRM[[#This Row],[PL Declarado]]),0)</f>
        <v>0.55490858333333337</v>
      </c>
      <c r="P257" s="11" t="str">
        <f>IF(Base_CRM[[#This Row],[Estado Civil]]="","PESSOA JURÍDICA","PESSOA FÍSICA")</f>
        <v>PESSOA FÍSICA</v>
      </c>
      <c r="Q257" t="str">
        <f>_xlfn.XLOOKUP(Base_CRM[[#This Row],[Cód do Cliente]],'[1]F &amp; O'!$A:$A,'[1]F &amp; O'!$F:$F,_xlfn.XLOOKUP(Base_CRM[[#This Row],[Assessor]],[1]DePara!$A:$A,[1]DePara!$D:$D,"Outros",0,1),0,1)</f>
        <v>Thayane Freitas</v>
      </c>
      <c r="R257" s="11" t="str">
        <f>_xlfn.XLOOKUP(Base_CRM[[#This Row],[Cód do Cliente]],'[1]F &amp; O'!$A:$A,'[1]F &amp; O'!D:D,"Sem Finder",0,1)</f>
        <v>Sem Finder</v>
      </c>
      <c r="S257" s="11" t="str">
        <f>_xlfn.XLOOKUP(Base_CRM[[#This Row],[Cód do Cliente]],'[1]F &amp; O'!$A:$A,'[1]F &amp; O'!E:E,"Sem Canal",0,1)</f>
        <v>Sem Canal</v>
      </c>
      <c r="T257" s="11" t="str">
        <f t="shared" si="3"/>
        <v>Cliente XP</v>
      </c>
    </row>
    <row r="258" spans="1:20" x14ac:dyDescent="0.3">
      <c r="A258">
        <v>2318524</v>
      </c>
      <c r="B258" s="8" t="s">
        <v>629</v>
      </c>
      <c r="C258" s="9" t="s">
        <v>39</v>
      </c>
      <c r="D258" s="8">
        <v>1360031.79</v>
      </c>
      <c r="E258">
        <v>1100000</v>
      </c>
      <c r="F258" t="s">
        <v>22</v>
      </c>
      <c r="G258" t="s">
        <v>52</v>
      </c>
      <c r="H258" s="10">
        <v>33730</v>
      </c>
      <c r="I258" s="10" t="s">
        <v>31</v>
      </c>
      <c r="K258" t="s">
        <v>25</v>
      </c>
      <c r="L258" t="s">
        <v>630</v>
      </c>
      <c r="N258" s="11" t="str">
        <f>Base_CRM[[#This Row],[Cidade]]&amp;"/"&amp;Base_CRM[[#This Row],[Estado]]</f>
        <v>SAO PAULO/</v>
      </c>
      <c r="O258" s="12">
        <f>IFERROR(IF(Base_CRM[[#This Row],[PL Tailor]]&gt;Base_CRM[[#This Row],[PL Declarado]],1,Base_CRM[[#This Row],[PL Tailor]]/Base_CRM[[#This Row],[PL Declarado]]),0)</f>
        <v>1</v>
      </c>
      <c r="P258" s="11" t="str">
        <f>IF(Base_CRM[[#This Row],[Estado Civil]]="","PESSOA JURÍDICA","PESSOA FÍSICA")</f>
        <v>PESSOA FÍSICA</v>
      </c>
      <c r="Q258" t="str">
        <f>_xlfn.XLOOKUP(Base_CRM[[#This Row],[Cód do Cliente]],'[1]F &amp; O'!$A:$A,'[1]F &amp; O'!$F:$F,_xlfn.XLOOKUP(Base_CRM[[#This Row],[Assessor]],[1]DePara!$A:$A,[1]DePara!$D:$D,"Outros",0,1),0,1)</f>
        <v>Gestora</v>
      </c>
      <c r="R258" s="11" t="str">
        <f>_xlfn.XLOOKUP(Base_CRM[[#This Row],[Cód do Cliente]],'[1]F &amp; O'!$A:$A,'[1]F &amp; O'!D:D,"Sem Finder",0,1)</f>
        <v>Sem Finder</v>
      </c>
      <c r="S258" s="11" t="str">
        <f>_xlfn.XLOOKUP(Base_CRM[[#This Row],[Cód do Cliente]],'[1]F &amp; O'!$A:$A,'[1]F &amp; O'!E:E,"Sem Canal",0,1)</f>
        <v>Gestora</v>
      </c>
      <c r="T258" s="11" t="str">
        <f t="shared" ref="T258:T321" si="4">"Cliente XP"</f>
        <v>Cliente XP</v>
      </c>
    </row>
    <row r="259" spans="1:20" x14ac:dyDescent="0.3">
      <c r="A259">
        <v>2320778</v>
      </c>
      <c r="B259" s="8" t="s">
        <v>631</v>
      </c>
      <c r="C259" s="9" t="s">
        <v>103</v>
      </c>
      <c r="D259" s="8">
        <v>573638.39</v>
      </c>
      <c r="E259">
        <v>1000000</v>
      </c>
      <c r="F259" t="s">
        <v>22</v>
      </c>
      <c r="G259" t="s">
        <v>75</v>
      </c>
      <c r="H259" s="10">
        <v>22618</v>
      </c>
      <c r="I259" s="10" t="s">
        <v>24</v>
      </c>
      <c r="K259" t="s">
        <v>42</v>
      </c>
      <c r="L259" t="s">
        <v>632</v>
      </c>
      <c r="N259" s="11" t="str">
        <f>Base_CRM[[#This Row],[Cidade]]&amp;"/"&amp;Base_CRM[[#This Row],[Estado]]</f>
        <v>RIO DE JANEIRO/</v>
      </c>
      <c r="O259" s="12">
        <f>IFERROR(IF(Base_CRM[[#This Row],[PL Tailor]]&gt;Base_CRM[[#This Row],[PL Declarado]],1,Base_CRM[[#This Row],[PL Tailor]]/Base_CRM[[#This Row],[PL Declarado]]),0)</f>
        <v>0.57363839000000005</v>
      </c>
      <c r="P259" s="11" t="str">
        <f>IF(Base_CRM[[#This Row],[Estado Civil]]="","PESSOA JURÍDICA","PESSOA FÍSICA")</f>
        <v>PESSOA FÍSICA</v>
      </c>
      <c r="Q259" t="str">
        <f>_xlfn.XLOOKUP(Base_CRM[[#This Row],[Cód do Cliente]],'[1]F &amp; O'!$A:$A,'[1]F &amp; O'!$F:$F,_xlfn.XLOOKUP(Base_CRM[[#This Row],[Assessor]],[1]DePara!$A:$A,[1]DePara!$D:$D,"Outros",0,1),0,1)</f>
        <v>Raphael Pereira</v>
      </c>
      <c r="R259" s="11" t="str">
        <f>_xlfn.XLOOKUP(Base_CRM[[#This Row],[Cód do Cliente]],'[1]F &amp; O'!$A:$A,'[1]F &amp; O'!D:D,"Sem Finder",0,1)</f>
        <v>Sem Finder</v>
      </c>
      <c r="S259" s="11" t="str">
        <f>_xlfn.XLOOKUP(Base_CRM[[#This Row],[Cód do Cliente]],'[1]F &amp; O'!$A:$A,'[1]F &amp; O'!E:E,"Sem Canal",0,1)</f>
        <v>Sem Canal</v>
      </c>
      <c r="T259" s="11" t="str">
        <f t="shared" si="4"/>
        <v>Cliente XP</v>
      </c>
    </row>
    <row r="260" spans="1:20" x14ac:dyDescent="0.3">
      <c r="A260">
        <v>2322370</v>
      </c>
      <c r="B260" s="8" t="s">
        <v>633</v>
      </c>
      <c r="C260" s="9" t="s">
        <v>34</v>
      </c>
      <c r="D260" s="8">
        <v>337522.66</v>
      </c>
      <c r="E260">
        <v>1</v>
      </c>
      <c r="F260" t="s">
        <v>22</v>
      </c>
      <c r="G260" t="s">
        <v>23</v>
      </c>
      <c r="H260" s="10">
        <v>33298</v>
      </c>
      <c r="I260" s="10" t="s">
        <v>31</v>
      </c>
      <c r="K260" t="s">
        <v>25</v>
      </c>
      <c r="L260" t="s">
        <v>634</v>
      </c>
      <c r="M260" t="s">
        <v>635</v>
      </c>
      <c r="N260" s="11" t="str">
        <f>Base_CRM[[#This Row],[Cidade]]&amp;"/"&amp;Base_CRM[[#This Row],[Estado]]</f>
        <v>SAO PAULO/</v>
      </c>
      <c r="O260" s="12">
        <f>IFERROR(IF(Base_CRM[[#This Row],[PL Tailor]]&gt;Base_CRM[[#This Row],[PL Declarado]],1,Base_CRM[[#This Row],[PL Tailor]]/Base_CRM[[#This Row],[PL Declarado]]),0)</f>
        <v>1</v>
      </c>
      <c r="P260" s="11" t="str">
        <f>IF(Base_CRM[[#This Row],[Estado Civil]]="","PESSOA JURÍDICA","PESSOA FÍSICA")</f>
        <v>PESSOA FÍSICA</v>
      </c>
      <c r="Q260" t="str">
        <f>_xlfn.XLOOKUP(Base_CRM[[#This Row],[Cód do Cliente]],'[1]F &amp; O'!$A:$A,'[1]F &amp; O'!$F:$F,_xlfn.XLOOKUP(Base_CRM[[#This Row],[Assessor]],[1]DePara!$A:$A,[1]DePara!$D:$D,"Outros",0,1),0,1)</f>
        <v>Adonias Noronha</v>
      </c>
      <c r="R260" s="11" t="str">
        <f>_xlfn.XLOOKUP(Base_CRM[[#This Row],[Cód do Cliente]],'[1]F &amp; O'!$A:$A,'[1]F &amp; O'!D:D,"Sem Finder",0,1)</f>
        <v>José De Marchi</v>
      </c>
      <c r="S260" s="11" t="str">
        <f>_xlfn.XLOOKUP(Base_CRM[[#This Row],[Cód do Cliente]],'[1]F &amp; O'!$A:$A,'[1]F &amp; O'!E:E,"Sem Canal",0,1)</f>
        <v>Sem Canal</v>
      </c>
      <c r="T260" s="11" t="str">
        <f t="shared" si="4"/>
        <v>Cliente XP</v>
      </c>
    </row>
    <row r="261" spans="1:20" x14ac:dyDescent="0.3">
      <c r="A261">
        <v>234057</v>
      </c>
      <c r="B261" s="8" t="s">
        <v>636</v>
      </c>
      <c r="C261" s="9" t="s">
        <v>74</v>
      </c>
      <c r="D261" s="8">
        <v>68477.279999999999</v>
      </c>
      <c r="E261">
        <v>20000000</v>
      </c>
      <c r="F261" t="s">
        <v>22</v>
      </c>
      <c r="G261" t="s">
        <v>87</v>
      </c>
      <c r="H261" s="10">
        <v>30800</v>
      </c>
      <c r="I261" s="10" t="s">
        <v>31</v>
      </c>
      <c r="K261" t="s">
        <v>42</v>
      </c>
      <c r="L261" t="s">
        <v>637</v>
      </c>
      <c r="M261" t="s">
        <v>77</v>
      </c>
      <c r="N261" s="11" t="str">
        <f>Base_CRM[[#This Row],[Cidade]]&amp;"/"&amp;Base_CRM[[#This Row],[Estado]]</f>
        <v>SAO PAULO/</v>
      </c>
      <c r="O261" s="12">
        <f>IFERROR(IF(Base_CRM[[#This Row],[PL Tailor]]&gt;Base_CRM[[#This Row],[PL Declarado]],1,Base_CRM[[#This Row],[PL Tailor]]/Base_CRM[[#This Row],[PL Declarado]]),0)</f>
        <v>3.423864E-3</v>
      </c>
      <c r="P261" s="11" t="str">
        <f>IF(Base_CRM[[#This Row],[Estado Civil]]="","PESSOA JURÍDICA","PESSOA FÍSICA")</f>
        <v>PESSOA FÍSICA</v>
      </c>
      <c r="Q261" t="str">
        <f>_xlfn.XLOOKUP(Base_CRM[[#This Row],[Cód do Cliente]],'[1]F &amp; O'!$A:$A,'[1]F &amp; O'!$F:$F,_xlfn.XLOOKUP(Base_CRM[[#This Row],[Assessor]],[1]DePara!$A:$A,[1]DePara!$D:$D,"Outros",0,1),0,1)</f>
        <v>Thayane Freitas</v>
      </c>
      <c r="R261" s="11" t="str">
        <f>_xlfn.XLOOKUP(Base_CRM[[#This Row],[Cód do Cliente]],'[1]F &amp; O'!$A:$A,'[1]F &amp; O'!D:D,"Sem Finder",0,1)</f>
        <v>Sem Finder</v>
      </c>
      <c r="S261" s="11" t="str">
        <f>_xlfn.XLOOKUP(Base_CRM[[#This Row],[Cód do Cliente]],'[1]F &amp; O'!$A:$A,'[1]F &amp; O'!E:E,"Sem Canal",0,1)</f>
        <v>Sem Canal</v>
      </c>
      <c r="T261" s="11" t="str">
        <f t="shared" si="4"/>
        <v>Cliente XP</v>
      </c>
    </row>
    <row r="262" spans="1:20" x14ac:dyDescent="0.3">
      <c r="A262">
        <v>2346146</v>
      </c>
      <c r="B262" s="8" t="s">
        <v>638</v>
      </c>
      <c r="C262" s="9" t="s">
        <v>34</v>
      </c>
      <c r="D262" s="8">
        <v>431808.6</v>
      </c>
      <c r="E262">
        <v>250000</v>
      </c>
      <c r="F262" t="s">
        <v>29</v>
      </c>
      <c r="G262" t="s">
        <v>177</v>
      </c>
      <c r="H262" s="10">
        <v>28045</v>
      </c>
      <c r="I262" s="10" t="s">
        <v>639</v>
      </c>
      <c r="K262" t="s">
        <v>25</v>
      </c>
      <c r="L262" t="s">
        <v>640</v>
      </c>
      <c r="M262" t="s">
        <v>641</v>
      </c>
      <c r="N262" s="11" t="str">
        <f>Base_CRM[[#This Row],[Cidade]]&amp;"/"&amp;Base_CRM[[#This Row],[Estado]]</f>
        <v>CAMPINAS/</v>
      </c>
      <c r="O262" s="12">
        <f>IFERROR(IF(Base_CRM[[#This Row],[PL Tailor]]&gt;Base_CRM[[#This Row],[PL Declarado]],1,Base_CRM[[#This Row],[PL Tailor]]/Base_CRM[[#This Row],[PL Declarado]]),0)</f>
        <v>1</v>
      </c>
      <c r="P262" s="11" t="str">
        <f>IF(Base_CRM[[#This Row],[Estado Civil]]="","PESSOA JURÍDICA","PESSOA FÍSICA")</f>
        <v>PESSOA FÍSICA</v>
      </c>
      <c r="Q262" t="str">
        <f>_xlfn.XLOOKUP(Base_CRM[[#This Row],[Cód do Cliente]],'[1]F &amp; O'!$A:$A,'[1]F &amp; O'!$F:$F,_xlfn.XLOOKUP(Base_CRM[[#This Row],[Assessor]],[1]DePara!$A:$A,[1]DePara!$D:$D,"Outros",0,1),0,1)</f>
        <v>Adonias Noronha</v>
      </c>
      <c r="R262" s="11" t="str">
        <f>_xlfn.XLOOKUP(Base_CRM[[#This Row],[Cód do Cliente]],'[1]F &amp; O'!$A:$A,'[1]F &amp; O'!D:D,"Sem Finder",0,1)</f>
        <v>Sem Finder</v>
      </c>
      <c r="S262" s="11" t="str">
        <f>_xlfn.XLOOKUP(Base_CRM[[#This Row],[Cód do Cliente]],'[1]F &amp; O'!$A:$A,'[1]F &amp; O'!E:E,"Sem Canal",0,1)</f>
        <v>Sem Canal</v>
      </c>
      <c r="T262" s="11" t="str">
        <f t="shared" si="4"/>
        <v>Cliente XP</v>
      </c>
    </row>
    <row r="263" spans="1:20" x14ac:dyDescent="0.3">
      <c r="A263">
        <v>2346796</v>
      </c>
      <c r="B263" s="8" t="s">
        <v>642</v>
      </c>
      <c r="C263" s="9" t="s">
        <v>39</v>
      </c>
      <c r="D263" s="8">
        <v>283534.57</v>
      </c>
      <c r="E263">
        <v>200000</v>
      </c>
      <c r="F263" t="s">
        <v>29</v>
      </c>
      <c r="G263" t="s">
        <v>67</v>
      </c>
      <c r="H263" s="10">
        <v>24207</v>
      </c>
      <c r="I263" s="10" t="s">
        <v>31</v>
      </c>
      <c r="K263" t="s">
        <v>68</v>
      </c>
      <c r="L263" t="s">
        <v>643</v>
      </c>
      <c r="N263" s="11" t="str">
        <f>Base_CRM[[#This Row],[Cidade]]&amp;"/"&amp;Base_CRM[[#This Row],[Estado]]</f>
        <v>SAO PAULO/</v>
      </c>
      <c r="O263" s="12">
        <f>IFERROR(IF(Base_CRM[[#This Row],[PL Tailor]]&gt;Base_CRM[[#This Row],[PL Declarado]],1,Base_CRM[[#This Row],[PL Tailor]]/Base_CRM[[#This Row],[PL Declarado]]),0)</f>
        <v>1</v>
      </c>
      <c r="P263" s="11" t="str">
        <f>IF(Base_CRM[[#This Row],[Estado Civil]]="","PESSOA JURÍDICA","PESSOA FÍSICA")</f>
        <v>PESSOA FÍSICA</v>
      </c>
      <c r="Q263" t="str">
        <f>_xlfn.XLOOKUP(Base_CRM[[#This Row],[Cód do Cliente]],'[1]F &amp; O'!$A:$A,'[1]F &amp; O'!$F:$F,_xlfn.XLOOKUP(Base_CRM[[#This Row],[Assessor]],[1]DePara!$A:$A,[1]DePara!$D:$D,"Outros",0,1),0,1)</f>
        <v>Gestora</v>
      </c>
      <c r="R263" s="11" t="str">
        <f>_xlfn.XLOOKUP(Base_CRM[[#This Row],[Cód do Cliente]],'[1]F &amp; O'!$A:$A,'[1]F &amp; O'!D:D,"Sem Finder",0,1)</f>
        <v>Sem Finder</v>
      </c>
      <c r="S263" s="11" t="str">
        <f>_xlfn.XLOOKUP(Base_CRM[[#This Row],[Cód do Cliente]],'[1]F &amp; O'!$A:$A,'[1]F &amp; O'!E:E,"Sem Canal",0,1)</f>
        <v>Gestora</v>
      </c>
      <c r="T263" s="11" t="str">
        <f t="shared" si="4"/>
        <v>Cliente XP</v>
      </c>
    </row>
    <row r="264" spans="1:20" x14ac:dyDescent="0.3">
      <c r="A264">
        <v>2355931</v>
      </c>
      <c r="B264" s="8" t="s">
        <v>644</v>
      </c>
      <c r="C264" s="9" t="s">
        <v>74</v>
      </c>
      <c r="D264" s="8">
        <v>117284.22</v>
      </c>
      <c r="E264">
        <v>80000</v>
      </c>
      <c r="F264" t="s">
        <v>29</v>
      </c>
      <c r="G264" t="s">
        <v>145</v>
      </c>
      <c r="H264" s="10">
        <v>32407</v>
      </c>
      <c r="I264" s="10" t="s">
        <v>584</v>
      </c>
      <c r="K264" t="s">
        <v>25</v>
      </c>
      <c r="L264" t="s">
        <v>645</v>
      </c>
      <c r="M264" t="s">
        <v>90</v>
      </c>
      <c r="N264" s="11" t="str">
        <f>Base_CRM[[#This Row],[Cidade]]&amp;"/"&amp;Base_CRM[[#This Row],[Estado]]</f>
        <v>NOVA FRIBURGO/</v>
      </c>
      <c r="O264" s="12">
        <f>IFERROR(IF(Base_CRM[[#This Row],[PL Tailor]]&gt;Base_CRM[[#This Row],[PL Declarado]],1,Base_CRM[[#This Row],[PL Tailor]]/Base_CRM[[#This Row],[PL Declarado]]),0)</f>
        <v>1</v>
      </c>
      <c r="P264" s="11" t="str">
        <f>IF(Base_CRM[[#This Row],[Estado Civil]]="","PESSOA JURÍDICA","PESSOA FÍSICA")</f>
        <v>PESSOA FÍSICA</v>
      </c>
      <c r="Q264" t="str">
        <f>_xlfn.XLOOKUP(Base_CRM[[#This Row],[Cód do Cliente]],'[1]F &amp; O'!$A:$A,'[1]F &amp; O'!$F:$F,_xlfn.XLOOKUP(Base_CRM[[#This Row],[Assessor]],[1]DePara!$A:$A,[1]DePara!$D:$D,"Outros",0,1),0,1)</f>
        <v>Thayane Freitas</v>
      </c>
      <c r="R264" s="11" t="str">
        <f>_xlfn.XLOOKUP(Base_CRM[[#This Row],[Cód do Cliente]],'[1]F &amp; O'!$A:$A,'[1]F &amp; O'!D:D,"Sem Finder",0,1)</f>
        <v>Sem Finder</v>
      </c>
      <c r="S264" s="11" t="str">
        <f>_xlfn.XLOOKUP(Base_CRM[[#This Row],[Cód do Cliente]],'[1]F &amp; O'!$A:$A,'[1]F &amp; O'!E:E,"Sem Canal",0,1)</f>
        <v>Sem Canal</v>
      </c>
      <c r="T264" s="11" t="str">
        <f t="shared" si="4"/>
        <v>Cliente XP</v>
      </c>
    </row>
    <row r="265" spans="1:20" x14ac:dyDescent="0.3">
      <c r="A265">
        <v>2362713</v>
      </c>
      <c r="B265" s="8" t="s">
        <v>646</v>
      </c>
      <c r="C265" s="9" t="s">
        <v>21</v>
      </c>
      <c r="D265" s="8">
        <v>0.06</v>
      </c>
      <c r="E265">
        <v>1000000</v>
      </c>
      <c r="F265" t="s">
        <v>29</v>
      </c>
      <c r="G265" t="s">
        <v>647</v>
      </c>
      <c r="H265" s="10">
        <v>21225</v>
      </c>
      <c r="I265" s="10" t="s">
        <v>84</v>
      </c>
      <c r="K265" t="s">
        <v>42</v>
      </c>
      <c r="L265" t="s">
        <v>648</v>
      </c>
      <c r="N265" s="11" t="str">
        <f>Base_CRM[[#This Row],[Cidade]]&amp;"/"&amp;Base_CRM[[#This Row],[Estado]]</f>
        <v>NITEROI/</v>
      </c>
      <c r="O265" s="12">
        <f>IFERROR(IF(Base_CRM[[#This Row],[PL Tailor]]&gt;Base_CRM[[#This Row],[PL Declarado]],1,Base_CRM[[#This Row],[PL Tailor]]/Base_CRM[[#This Row],[PL Declarado]]),0)</f>
        <v>5.9999999999999995E-8</v>
      </c>
      <c r="P265" s="11" t="str">
        <f>IF(Base_CRM[[#This Row],[Estado Civil]]="","PESSOA JURÍDICA","PESSOA FÍSICA")</f>
        <v>PESSOA FÍSICA</v>
      </c>
      <c r="Q265" t="str">
        <f>_xlfn.XLOOKUP(Base_CRM[[#This Row],[Cód do Cliente]],'[1]F &amp; O'!$A:$A,'[1]F &amp; O'!$F:$F,_xlfn.XLOOKUP(Base_CRM[[#This Row],[Assessor]],[1]DePara!$A:$A,[1]DePara!$D:$D,"Outros",0,1),0,1)</f>
        <v>Leonardo Burle</v>
      </c>
      <c r="R265" s="11" t="str">
        <f>_xlfn.XLOOKUP(Base_CRM[[#This Row],[Cód do Cliente]],'[1]F &amp; O'!$A:$A,'[1]F &amp; O'!D:D,"Sem Finder",0,1)</f>
        <v>Sem Finder</v>
      </c>
      <c r="S265" s="11" t="str">
        <f>_xlfn.XLOOKUP(Base_CRM[[#This Row],[Cód do Cliente]],'[1]F &amp; O'!$A:$A,'[1]F &amp; O'!E:E,"Sem Canal",0,1)</f>
        <v>Sem Canal</v>
      </c>
      <c r="T265" s="11" t="str">
        <f t="shared" si="4"/>
        <v>Cliente XP</v>
      </c>
    </row>
    <row r="266" spans="1:20" x14ac:dyDescent="0.3">
      <c r="A266">
        <v>2388476</v>
      </c>
      <c r="B266" s="8" t="s">
        <v>649</v>
      </c>
      <c r="C266" s="9" t="s">
        <v>21</v>
      </c>
      <c r="D266" s="8">
        <v>160038.39000000001</v>
      </c>
      <c r="E266">
        <v>200000</v>
      </c>
      <c r="F266" t="s">
        <v>22</v>
      </c>
      <c r="G266" t="s">
        <v>96</v>
      </c>
      <c r="H266" s="10">
        <v>27877</v>
      </c>
      <c r="I266" s="10" t="s">
        <v>24</v>
      </c>
      <c r="K266" t="s">
        <v>42</v>
      </c>
      <c r="L266" t="s">
        <v>650</v>
      </c>
      <c r="N266" s="11" t="str">
        <f>Base_CRM[[#This Row],[Cidade]]&amp;"/"&amp;Base_CRM[[#This Row],[Estado]]</f>
        <v>RIO DE JANEIRO/</v>
      </c>
      <c r="O266" s="12">
        <f>IFERROR(IF(Base_CRM[[#This Row],[PL Tailor]]&gt;Base_CRM[[#This Row],[PL Declarado]],1,Base_CRM[[#This Row],[PL Tailor]]/Base_CRM[[#This Row],[PL Declarado]]),0)</f>
        <v>0.8001919500000001</v>
      </c>
      <c r="P266" s="11" t="str">
        <f>IF(Base_CRM[[#This Row],[Estado Civil]]="","PESSOA JURÍDICA","PESSOA FÍSICA")</f>
        <v>PESSOA FÍSICA</v>
      </c>
      <c r="Q266" t="str">
        <f>_xlfn.XLOOKUP(Base_CRM[[#This Row],[Cód do Cliente]],'[1]F &amp; O'!$A:$A,'[1]F &amp; O'!$F:$F,_xlfn.XLOOKUP(Base_CRM[[#This Row],[Assessor]],[1]DePara!$A:$A,[1]DePara!$D:$D,"Outros",0,1),0,1)</f>
        <v>Leonardo Burle</v>
      </c>
      <c r="R266" s="11" t="str">
        <f>_xlfn.XLOOKUP(Base_CRM[[#This Row],[Cód do Cliente]],'[1]F &amp; O'!$A:$A,'[1]F &amp; O'!D:D,"Sem Finder",0,1)</f>
        <v>Sem Finder</v>
      </c>
      <c r="S266" s="11" t="str">
        <f>_xlfn.XLOOKUP(Base_CRM[[#This Row],[Cód do Cliente]],'[1]F &amp; O'!$A:$A,'[1]F &amp; O'!E:E,"Sem Canal",0,1)</f>
        <v>Sem Canal</v>
      </c>
      <c r="T266" s="11" t="str">
        <f t="shared" si="4"/>
        <v>Cliente XP</v>
      </c>
    </row>
    <row r="267" spans="1:20" x14ac:dyDescent="0.3">
      <c r="A267">
        <v>2398537</v>
      </c>
      <c r="B267" s="8" t="s">
        <v>651</v>
      </c>
      <c r="C267" s="9" t="s">
        <v>39</v>
      </c>
      <c r="D267" s="8">
        <v>2525043.89</v>
      </c>
      <c r="E267">
        <v>1000000</v>
      </c>
      <c r="F267" t="s">
        <v>29</v>
      </c>
      <c r="G267" t="s">
        <v>67</v>
      </c>
      <c r="H267" s="10">
        <v>21500</v>
      </c>
      <c r="I267" s="10" t="s">
        <v>31</v>
      </c>
      <c r="K267" t="s">
        <v>42</v>
      </c>
      <c r="L267" t="s">
        <v>652</v>
      </c>
      <c r="N267" s="11" t="str">
        <f>Base_CRM[[#This Row],[Cidade]]&amp;"/"&amp;Base_CRM[[#This Row],[Estado]]</f>
        <v>SAO PAULO/</v>
      </c>
      <c r="O267" s="12">
        <f>IFERROR(IF(Base_CRM[[#This Row],[PL Tailor]]&gt;Base_CRM[[#This Row],[PL Declarado]],1,Base_CRM[[#This Row],[PL Tailor]]/Base_CRM[[#This Row],[PL Declarado]]),0)</f>
        <v>1</v>
      </c>
      <c r="P267" s="11" t="str">
        <f>IF(Base_CRM[[#This Row],[Estado Civil]]="","PESSOA JURÍDICA","PESSOA FÍSICA")</f>
        <v>PESSOA FÍSICA</v>
      </c>
      <c r="Q267" t="str">
        <f>_xlfn.XLOOKUP(Base_CRM[[#This Row],[Cód do Cliente]],'[1]F &amp; O'!$A:$A,'[1]F &amp; O'!$F:$F,_xlfn.XLOOKUP(Base_CRM[[#This Row],[Assessor]],[1]DePara!$A:$A,[1]DePara!$D:$D,"Outros",0,1),0,1)</f>
        <v>Gestora</v>
      </c>
      <c r="R267" s="11" t="str">
        <f>_xlfn.XLOOKUP(Base_CRM[[#This Row],[Cód do Cliente]],'[1]F &amp; O'!$A:$A,'[1]F &amp; O'!D:D,"Sem Finder",0,1)</f>
        <v>Pedro Chagas</v>
      </c>
      <c r="S267" s="11" t="str">
        <f>_xlfn.XLOOKUP(Base_CRM[[#This Row],[Cód do Cliente]],'[1]F &amp; O'!$A:$A,'[1]F &amp; O'!E:E,"Sem Canal",0,1)</f>
        <v>Gestora</v>
      </c>
      <c r="T267" s="11" t="str">
        <f t="shared" si="4"/>
        <v>Cliente XP</v>
      </c>
    </row>
    <row r="268" spans="1:20" x14ac:dyDescent="0.3">
      <c r="A268">
        <v>2398831</v>
      </c>
      <c r="B268" s="8" t="s">
        <v>653</v>
      </c>
      <c r="C268" s="9" t="s">
        <v>39</v>
      </c>
      <c r="D268" s="8">
        <v>1035529.32</v>
      </c>
      <c r="E268">
        <v>1000000</v>
      </c>
      <c r="F268" t="s">
        <v>22</v>
      </c>
      <c r="G268" t="s">
        <v>87</v>
      </c>
      <c r="H268" s="10">
        <v>32747</v>
      </c>
      <c r="I268" s="10" t="s">
        <v>31</v>
      </c>
      <c r="K268" t="s">
        <v>25</v>
      </c>
      <c r="L268" t="s">
        <v>654</v>
      </c>
      <c r="N268" s="11" t="str">
        <f>Base_CRM[[#This Row],[Cidade]]&amp;"/"&amp;Base_CRM[[#This Row],[Estado]]</f>
        <v>SAO PAULO/</v>
      </c>
      <c r="O268" s="12">
        <f>IFERROR(IF(Base_CRM[[#This Row],[PL Tailor]]&gt;Base_CRM[[#This Row],[PL Declarado]],1,Base_CRM[[#This Row],[PL Tailor]]/Base_CRM[[#This Row],[PL Declarado]]),0)</f>
        <v>1</v>
      </c>
      <c r="P268" s="11" t="str">
        <f>IF(Base_CRM[[#This Row],[Estado Civil]]="","PESSOA JURÍDICA","PESSOA FÍSICA")</f>
        <v>PESSOA FÍSICA</v>
      </c>
      <c r="Q268" t="str">
        <f>_xlfn.XLOOKUP(Base_CRM[[#This Row],[Cód do Cliente]],'[1]F &amp; O'!$A:$A,'[1]F &amp; O'!$F:$F,_xlfn.XLOOKUP(Base_CRM[[#This Row],[Assessor]],[1]DePara!$A:$A,[1]DePara!$D:$D,"Outros",0,1),0,1)</f>
        <v>Gestora</v>
      </c>
      <c r="R268" s="11" t="str">
        <f>_xlfn.XLOOKUP(Base_CRM[[#This Row],[Cód do Cliente]],'[1]F &amp; O'!$A:$A,'[1]F &amp; O'!D:D,"Sem Finder",0,1)</f>
        <v>Pedro Chagas</v>
      </c>
      <c r="S268" s="11" t="str">
        <f>_xlfn.XLOOKUP(Base_CRM[[#This Row],[Cód do Cliente]],'[1]F &amp; O'!$A:$A,'[1]F &amp; O'!E:E,"Sem Canal",0,1)</f>
        <v>Gestora</v>
      </c>
      <c r="T268" s="11" t="str">
        <f t="shared" si="4"/>
        <v>Cliente XP</v>
      </c>
    </row>
    <row r="269" spans="1:20" x14ac:dyDescent="0.3">
      <c r="A269">
        <v>240775</v>
      </c>
      <c r="B269" s="8" t="s">
        <v>655</v>
      </c>
      <c r="C269" s="9" t="s">
        <v>21</v>
      </c>
      <c r="D269" s="8">
        <v>0.9</v>
      </c>
      <c r="E269">
        <v>5000</v>
      </c>
      <c r="F269" t="s">
        <v>22</v>
      </c>
      <c r="G269" t="s">
        <v>23</v>
      </c>
      <c r="H269" s="10">
        <v>31281</v>
      </c>
      <c r="I269" s="10" t="s">
        <v>24</v>
      </c>
      <c r="K269" t="s">
        <v>25</v>
      </c>
      <c r="L269" t="s">
        <v>656</v>
      </c>
      <c r="N269" s="11" t="str">
        <f>Base_CRM[[#This Row],[Cidade]]&amp;"/"&amp;Base_CRM[[#This Row],[Estado]]</f>
        <v>RIO DE JANEIRO/</v>
      </c>
      <c r="O269" s="12">
        <f>IFERROR(IF(Base_CRM[[#This Row],[PL Tailor]]&gt;Base_CRM[[#This Row],[PL Declarado]],1,Base_CRM[[#This Row],[PL Tailor]]/Base_CRM[[#This Row],[PL Declarado]]),0)</f>
        <v>1.8000000000000001E-4</v>
      </c>
      <c r="P269" s="11" t="str">
        <f>IF(Base_CRM[[#This Row],[Estado Civil]]="","PESSOA JURÍDICA","PESSOA FÍSICA")</f>
        <v>PESSOA FÍSICA</v>
      </c>
      <c r="Q269" t="str">
        <f>_xlfn.XLOOKUP(Base_CRM[[#This Row],[Cód do Cliente]],'[1]F &amp; O'!$A:$A,'[1]F &amp; O'!$F:$F,_xlfn.XLOOKUP(Base_CRM[[#This Row],[Assessor]],[1]DePara!$A:$A,[1]DePara!$D:$D,"Outros",0,1),0,1)</f>
        <v>Leonardo Burle</v>
      </c>
      <c r="R269" s="11" t="str">
        <f>_xlfn.XLOOKUP(Base_CRM[[#This Row],[Cód do Cliente]],'[1]F &amp; O'!$A:$A,'[1]F &amp; O'!D:D,"Sem Finder",0,1)</f>
        <v>Sem Finder</v>
      </c>
      <c r="S269" s="11" t="str">
        <f>_xlfn.XLOOKUP(Base_CRM[[#This Row],[Cód do Cliente]],'[1]F &amp; O'!$A:$A,'[1]F &amp; O'!E:E,"Sem Canal",0,1)</f>
        <v>Sem Canal</v>
      </c>
      <c r="T269" s="11" t="str">
        <f t="shared" si="4"/>
        <v>Cliente XP</v>
      </c>
    </row>
    <row r="270" spans="1:20" x14ac:dyDescent="0.3">
      <c r="A270">
        <v>2407771</v>
      </c>
      <c r="B270" s="8" t="s">
        <v>657</v>
      </c>
      <c r="C270" s="9" t="s">
        <v>39</v>
      </c>
      <c r="D270" s="8">
        <v>81362.22</v>
      </c>
      <c r="E270">
        <v>150000</v>
      </c>
      <c r="F270" t="s">
        <v>22</v>
      </c>
      <c r="G270" t="s">
        <v>87</v>
      </c>
      <c r="H270" s="10">
        <v>32611</v>
      </c>
      <c r="I270" s="10" t="s">
        <v>349</v>
      </c>
      <c r="K270" t="s">
        <v>25</v>
      </c>
      <c r="L270" t="s">
        <v>658</v>
      </c>
      <c r="N270" s="11" t="str">
        <f>Base_CRM[[#This Row],[Cidade]]&amp;"/"&amp;Base_CRM[[#This Row],[Estado]]</f>
        <v>São Paulo/</v>
      </c>
      <c r="O270" s="12">
        <f>IFERROR(IF(Base_CRM[[#This Row],[PL Tailor]]&gt;Base_CRM[[#This Row],[PL Declarado]],1,Base_CRM[[#This Row],[PL Tailor]]/Base_CRM[[#This Row],[PL Declarado]]),0)</f>
        <v>0.54241479999999997</v>
      </c>
      <c r="P270" s="11" t="str">
        <f>IF(Base_CRM[[#This Row],[Estado Civil]]="","PESSOA JURÍDICA","PESSOA FÍSICA")</f>
        <v>PESSOA FÍSICA</v>
      </c>
      <c r="Q270" t="str">
        <f>_xlfn.XLOOKUP(Base_CRM[[#This Row],[Cód do Cliente]],'[1]F &amp; O'!$A:$A,'[1]F &amp; O'!$F:$F,_xlfn.XLOOKUP(Base_CRM[[#This Row],[Assessor]],[1]DePara!$A:$A,[1]DePara!$D:$D,"Outros",0,1),0,1)</f>
        <v>Gestora</v>
      </c>
      <c r="R270" s="11" t="str">
        <f>_xlfn.XLOOKUP(Base_CRM[[#This Row],[Cód do Cliente]],'[1]F &amp; O'!$A:$A,'[1]F &amp; O'!D:D,"Sem Finder",0,1)</f>
        <v>Sem Finder</v>
      </c>
      <c r="S270" s="11" t="str">
        <f>_xlfn.XLOOKUP(Base_CRM[[#This Row],[Cód do Cliente]],'[1]F &amp; O'!$A:$A,'[1]F &amp; O'!E:E,"Sem Canal",0,1)</f>
        <v>Gestora</v>
      </c>
      <c r="T270" s="11" t="str">
        <f t="shared" si="4"/>
        <v>Cliente XP</v>
      </c>
    </row>
    <row r="271" spans="1:20" x14ac:dyDescent="0.3">
      <c r="A271">
        <v>2407804</v>
      </c>
      <c r="B271" s="8" t="s">
        <v>659</v>
      </c>
      <c r="C271" s="9" t="s">
        <v>39</v>
      </c>
      <c r="D271" s="8">
        <v>801462.24</v>
      </c>
      <c r="E271">
        <v>1003000</v>
      </c>
      <c r="F271" t="s">
        <v>22</v>
      </c>
      <c r="G271" t="s">
        <v>35</v>
      </c>
      <c r="H271" s="10">
        <v>34781</v>
      </c>
      <c r="I271" s="10" t="s">
        <v>349</v>
      </c>
      <c r="K271" t="s">
        <v>25</v>
      </c>
      <c r="L271" t="s">
        <v>660</v>
      </c>
      <c r="M271" t="s">
        <v>661</v>
      </c>
      <c r="N271" s="11" t="str">
        <f>Base_CRM[[#This Row],[Cidade]]&amp;"/"&amp;Base_CRM[[#This Row],[Estado]]</f>
        <v>São Paulo/</v>
      </c>
      <c r="O271" s="12">
        <f>IFERROR(IF(Base_CRM[[#This Row],[PL Tailor]]&gt;Base_CRM[[#This Row],[PL Declarado]],1,Base_CRM[[#This Row],[PL Tailor]]/Base_CRM[[#This Row],[PL Declarado]]),0)</f>
        <v>0.79906504486540375</v>
      </c>
      <c r="P271" s="11" t="str">
        <f>IF(Base_CRM[[#This Row],[Estado Civil]]="","PESSOA JURÍDICA","PESSOA FÍSICA")</f>
        <v>PESSOA FÍSICA</v>
      </c>
      <c r="Q271" t="str">
        <f>_xlfn.XLOOKUP(Base_CRM[[#This Row],[Cód do Cliente]],'[1]F &amp; O'!$A:$A,'[1]F &amp; O'!$F:$F,_xlfn.XLOOKUP(Base_CRM[[#This Row],[Assessor]],[1]DePara!$A:$A,[1]DePara!$D:$D,"Outros",0,1),0,1)</f>
        <v>Gestora</v>
      </c>
      <c r="R271" s="11" t="str">
        <f>_xlfn.XLOOKUP(Base_CRM[[#This Row],[Cód do Cliente]],'[1]F &amp; O'!$A:$A,'[1]F &amp; O'!D:D,"Sem Finder",0,1)</f>
        <v>Sem Finder</v>
      </c>
      <c r="S271" s="11" t="str">
        <f>_xlfn.XLOOKUP(Base_CRM[[#This Row],[Cód do Cliente]],'[1]F &amp; O'!$A:$A,'[1]F &amp; O'!E:E,"Sem Canal",0,1)</f>
        <v>Gestora</v>
      </c>
      <c r="T271" s="11" t="str">
        <f t="shared" si="4"/>
        <v>Cliente XP</v>
      </c>
    </row>
    <row r="272" spans="1:20" x14ac:dyDescent="0.3">
      <c r="A272">
        <v>2422475</v>
      </c>
      <c r="B272" s="8" t="s">
        <v>662</v>
      </c>
      <c r="C272" s="9" t="s">
        <v>21</v>
      </c>
      <c r="D272" s="8">
        <v>1766879.02</v>
      </c>
      <c r="E272">
        <v>1000000</v>
      </c>
      <c r="F272" t="s">
        <v>22</v>
      </c>
      <c r="G272" t="s">
        <v>35</v>
      </c>
      <c r="H272" s="10">
        <v>29458</v>
      </c>
      <c r="I272" s="10" t="s">
        <v>24</v>
      </c>
      <c r="K272" t="s">
        <v>25</v>
      </c>
      <c r="L272" t="s">
        <v>663</v>
      </c>
      <c r="M272" t="s">
        <v>395</v>
      </c>
      <c r="N272" s="11" t="str">
        <f>Base_CRM[[#This Row],[Cidade]]&amp;"/"&amp;Base_CRM[[#This Row],[Estado]]</f>
        <v>RIO DE JANEIRO/</v>
      </c>
      <c r="O272" s="12">
        <f>IFERROR(IF(Base_CRM[[#This Row],[PL Tailor]]&gt;Base_CRM[[#This Row],[PL Declarado]],1,Base_CRM[[#This Row],[PL Tailor]]/Base_CRM[[#This Row],[PL Declarado]]),0)</f>
        <v>1</v>
      </c>
      <c r="P272" s="11" t="str">
        <f>IF(Base_CRM[[#This Row],[Estado Civil]]="","PESSOA JURÍDICA","PESSOA FÍSICA")</f>
        <v>PESSOA FÍSICA</v>
      </c>
      <c r="Q272" t="str">
        <f>_xlfn.XLOOKUP(Base_CRM[[#This Row],[Cód do Cliente]],'[1]F &amp; O'!$A:$A,'[1]F &amp; O'!$F:$F,_xlfn.XLOOKUP(Base_CRM[[#This Row],[Assessor]],[1]DePara!$A:$A,[1]DePara!$D:$D,"Outros",0,1),0,1)</f>
        <v>Leonardo Burle</v>
      </c>
      <c r="R272" s="11" t="str">
        <f>_xlfn.XLOOKUP(Base_CRM[[#This Row],[Cód do Cliente]],'[1]F &amp; O'!$A:$A,'[1]F &amp; O'!D:D,"Sem Finder",0,1)</f>
        <v>Sem Finder</v>
      </c>
      <c r="S272" s="11" t="str">
        <f>_xlfn.XLOOKUP(Base_CRM[[#This Row],[Cód do Cliente]],'[1]F &amp; O'!$A:$A,'[1]F &amp; O'!E:E,"Sem Canal",0,1)</f>
        <v>Sem Canal</v>
      </c>
      <c r="T272" s="11" t="str">
        <f t="shared" si="4"/>
        <v>Cliente XP</v>
      </c>
    </row>
    <row r="273" spans="1:20" x14ac:dyDescent="0.3">
      <c r="A273">
        <v>2426990</v>
      </c>
      <c r="B273" s="8" t="s">
        <v>664</v>
      </c>
      <c r="C273" s="9" t="s">
        <v>21</v>
      </c>
      <c r="D273" s="8">
        <v>3715901.95</v>
      </c>
      <c r="E273">
        <v>2500000</v>
      </c>
      <c r="F273" t="s">
        <v>29</v>
      </c>
      <c r="G273" t="s">
        <v>23</v>
      </c>
      <c r="H273" s="10">
        <v>26598</v>
      </c>
      <c r="I273" s="10" t="s">
        <v>24</v>
      </c>
      <c r="K273" t="s">
        <v>42</v>
      </c>
      <c r="L273" t="s">
        <v>665</v>
      </c>
      <c r="M273" t="s">
        <v>64</v>
      </c>
      <c r="N273" s="11" t="str">
        <f>Base_CRM[[#This Row],[Cidade]]&amp;"/"&amp;Base_CRM[[#This Row],[Estado]]</f>
        <v>RIO DE JANEIRO/</v>
      </c>
      <c r="O273" s="12">
        <f>IFERROR(IF(Base_CRM[[#This Row],[PL Tailor]]&gt;Base_CRM[[#This Row],[PL Declarado]],1,Base_CRM[[#This Row],[PL Tailor]]/Base_CRM[[#This Row],[PL Declarado]]),0)</f>
        <v>1</v>
      </c>
      <c r="P273" s="11" t="str">
        <f>IF(Base_CRM[[#This Row],[Estado Civil]]="","PESSOA JURÍDICA","PESSOA FÍSICA")</f>
        <v>PESSOA FÍSICA</v>
      </c>
      <c r="Q273" t="str">
        <f>_xlfn.XLOOKUP(Base_CRM[[#This Row],[Cód do Cliente]],'[1]F &amp; O'!$A:$A,'[1]F &amp; O'!$F:$F,_xlfn.XLOOKUP(Base_CRM[[#This Row],[Assessor]],[1]DePara!$A:$A,[1]DePara!$D:$D,"Outros",0,1),0,1)</f>
        <v>Leonardo Burle</v>
      </c>
      <c r="R273" s="11" t="str">
        <f>_xlfn.XLOOKUP(Base_CRM[[#This Row],[Cód do Cliente]],'[1]F &amp; O'!$A:$A,'[1]F &amp; O'!D:D,"Sem Finder",0,1)</f>
        <v>Sem Finder</v>
      </c>
      <c r="S273" s="11" t="str">
        <f>_xlfn.XLOOKUP(Base_CRM[[#This Row],[Cód do Cliente]],'[1]F &amp; O'!$A:$A,'[1]F &amp; O'!E:E,"Sem Canal",0,1)</f>
        <v>Sem Canal</v>
      </c>
      <c r="T273" s="11" t="str">
        <f t="shared" si="4"/>
        <v>Cliente XP</v>
      </c>
    </row>
    <row r="274" spans="1:20" x14ac:dyDescent="0.3">
      <c r="A274">
        <v>2447201</v>
      </c>
      <c r="B274" s="8" t="s">
        <v>666</v>
      </c>
      <c r="C274" s="9" t="s">
        <v>48</v>
      </c>
      <c r="D274" s="8">
        <v>2414612.0099999998</v>
      </c>
      <c r="E274">
        <v>2000000</v>
      </c>
      <c r="F274" t="s">
        <v>29</v>
      </c>
      <c r="G274" t="s">
        <v>35</v>
      </c>
      <c r="H274" s="10">
        <v>19652</v>
      </c>
      <c r="I274" s="10" t="s">
        <v>285</v>
      </c>
      <c r="K274" t="s">
        <v>42</v>
      </c>
      <c r="L274" t="s">
        <v>667</v>
      </c>
      <c r="M274" t="s">
        <v>64</v>
      </c>
      <c r="N274" s="11" t="str">
        <f>Base_CRM[[#This Row],[Cidade]]&amp;"/"&amp;Base_CRM[[#This Row],[Estado]]</f>
        <v>SANTANA DE PARNAIBA/</v>
      </c>
      <c r="O274" s="12">
        <f>IFERROR(IF(Base_CRM[[#This Row],[PL Tailor]]&gt;Base_CRM[[#This Row],[PL Declarado]],1,Base_CRM[[#This Row],[PL Tailor]]/Base_CRM[[#This Row],[PL Declarado]]),0)</f>
        <v>1</v>
      </c>
      <c r="P274" s="11" t="str">
        <f>IF(Base_CRM[[#This Row],[Estado Civil]]="","PESSOA JURÍDICA","PESSOA FÍSICA")</f>
        <v>PESSOA FÍSICA</v>
      </c>
      <c r="Q274" t="str">
        <f>_xlfn.XLOOKUP(Base_CRM[[#This Row],[Cód do Cliente]],'[1]F &amp; O'!$A:$A,'[1]F &amp; O'!$F:$F,_xlfn.XLOOKUP(Base_CRM[[#This Row],[Assessor]],[1]DePara!$A:$A,[1]DePara!$D:$D,"Outros",0,1),0,1)</f>
        <v>Raphael Farias</v>
      </c>
      <c r="R274" s="11" t="str">
        <f>_xlfn.XLOOKUP(Base_CRM[[#This Row],[Cód do Cliente]],'[1]F &amp; O'!$A:$A,'[1]F &amp; O'!D:D,"Sem Finder",0,1)</f>
        <v>Sem Finder</v>
      </c>
      <c r="S274" s="11" t="str">
        <f>_xlfn.XLOOKUP(Base_CRM[[#This Row],[Cód do Cliente]],'[1]F &amp; O'!$A:$A,'[1]F &amp; O'!E:E,"Sem Canal",0,1)</f>
        <v>Sem Canal</v>
      </c>
      <c r="T274" s="11" t="str">
        <f t="shared" si="4"/>
        <v>Cliente XP</v>
      </c>
    </row>
    <row r="275" spans="1:20" x14ac:dyDescent="0.3">
      <c r="A275">
        <v>2453464</v>
      </c>
      <c r="B275" s="8" t="s">
        <v>323</v>
      </c>
      <c r="C275" s="9" t="s">
        <v>39</v>
      </c>
      <c r="D275" s="8">
        <v>5463850.96</v>
      </c>
      <c r="E275">
        <v>3500000</v>
      </c>
      <c r="F275" t="s">
        <v>22</v>
      </c>
      <c r="G275" t="s">
        <v>127</v>
      </c>
      <c r="H275" s="10">
        <v>22229</v>
      </c>
      <c r="I275" s="10" t="s">
        <v>324</v>
      </c>
      <c r="K275" t="s">
        <v>68</v>
      </c>
      <c r="L275" t="s">
        <v>325</v>
      </c>
      <c r="N275" s="11" t="str">
        <f>Base_CRM[[#This Row],[Cidade]]&amp;"/"&amp;Base_CRM[[#This Row],[Estado]]</f>
        <v>JUNDIAI/</v>
      </c>
      <c r="O275" s="12">
        <f>IFERROR(IF(Base_CRM[[#This Row],[PL Tailor]]&gt;Base_CRM[[#This Row],[PL Declarado]],1,Base_CRM[[#This Row],[PL Tailor]]/Base_CRM[[#This Row],[PL Declarado]]),0)</f>
        <v>1</v>
      </c>
      <c r="P275" s="11" t="str">
        <f>IF(Base_CRM[[#This Row],[Estado Civil]]="","PESSOA JURÍDICA","PESSOA FÍSICA")</f>
        <v>PESSOA FÍSICA</v>
      </c>
      <c r="Q275" t="str">
        <f>_xlfn.XLOOKUP(Base_CRM[[#This Row],[Cód do Cliente]],'[1]F &amp; O'!$A:$A,'[1]F &amp; O'!$F:$F,_xlfn.XLOOKUP(Base_CRM[[#This Row],[Assessor]],[1]DePara!$A:$A,[1]DePara!$D:$D,"Outros",0,1),0,1)</f>
        <v>Gestora</v>
      </c>
      <c r="R275" s="11" t="str">
        <f>_xlfn.XLOOKUP(Base_CRM[[#This Row],[Cód do Cliente]],'[1]F &amp; O'!$A:$A,'[1]F &amp; O'!D:D,"Sem Finder",0,1)</f>
        <v>Sem Finder</v>
      </c>
      <c r="S275" s="11" t="str">
        <f>_xlfn.XLOOKUP(Base_CRM[[#This Row],[Cód do Cliente]],'[1]F &amp; O'!$A:$A,'[1]F &amp; O'!E:E,"Sem Canal",0,1)</f>
        <v>Gestora</v>
      </c>
      <c r="T275" s="11" t="str">
        <f t="shared" si="4"/>
        <v>Cliente XP</v>
      </c>
    </row>
    <row r="276" spans="1:20" x14ac:dyDescent="0.3">
      <c r="A276">
        <v>245930</v>
      </c>
      <c r="B276" s="8" t="s">
        <v>668</v>
      </c>
      <c r="C276" s="9" t="s">
        <v>74</v>
      </c>
      <c r="D276" s="8">
        <v>358235.64</v>
      </c>
      <c r="E276">
        <v>10000000</v>
      </c>
      <c r="F276" t="s">
        <v>22</v>
      </c>
      <c r="G276" t="s">
        <v>127</v>
      </c>
      <c r="H276" s="10">
        <v>16783</v>
      </c>
      <c r="I276" s="10" t="s">
        <v>31</v>
      </c>
      <c r="K276" t="s">
        <v>42</v>
      </c>
      <c r="L276" t="s">
        <v>669</v>
      </c>
      <c r="N276" s="11" t="str">
        <f>Base_CRM[[#This Row],[Cidade]]&amp;"/"&amp;Base_CRM[[#This Row],[Estado]]</f>
        <v>SAO PAULO/</v>
      </c>
      <c r="O276" s="12">
        <f>IFERROR(IF(Base_CRM[[#This Row],[PL Tailor]]&gt;Base_CRM[[#This Row],[PL Declarado]],1,Base_CRM[[#This Row],[PL Tailor]]/Base_CRM[[#This Row],[PL Declarado]]),0)</f>
        <v>3.5823564000000002E-2</v>
      </c>
      <c r="P276" s="11" t="str">
        <f>IF(Base_CRM[[#This Row],[Estado Civil]]="","PESSOA JURÍDICA","PESSOA FÍSICA")</f>
        <v>PESSOA FÍSICA</v>
      </c>
      <c r="Q276" t="str">
        <f>_xlfn.XLOOKUP(Base_CRM[[#This Row],[Cód do Cliente]],'[1]F &amp; O'!$A:$A,'[1]F &amp; O'!$F:$F,_xlfn.XLOOKUP(Base_CRM[[#This Row],[Assessor]],[1]DePara!$A:$A,[1]DePara!$D:$D,"Outros",0,1),0,1)</f>
        <v>Thayane Freitas</v>
      </c>
      <c r="R276" s="11" t="str">
        <f>_xlfn.XLOOKUP(Base_CRM[[#This Row],[Cód do Cliente]],'[1]F &amp; O'!$A:$A,'[1]F &amp; O'!D:D,"Sem Finder",0,1)</f>
        <v>Sem Finder</v>
      </c>
      <c r="S276" s="11" t="str">
        <f>_xlfn.XLOOKUP(Base_CRM[[#This Row],[Cód do Cliente]],'[1]F &amp; O'!$A:$A,'[1]F &amp; O'!E:E,"Sem Canal",0,1)</f>
        <v>Sem Canal</v>
      </c>
      <c r="T276" s="11" t="str">
        <f t="shared" si="4"/>
        <v>Cliente XP</v>
      </c>
    </row>
    <row r="277" spans="1:20" x14ac:dyDescent="0.3">
      <c r="A277">
        <v>245931</v>
      </c>
      <c r="B277" s="8" t="s">
        <v>670</v>
      </c>
      <c r="C277" s="9" t="s">
        <v>74</v>
      </c>
      <c r="D277" s="8">
        <v>1070534.3400000001</v>
      </c>
      <c r="E277">
        <v>40000000</v>
      </c>
      <c r="F277" t="s">
        <v>22</v>
      </c>
      <c r="G277" t="s">
        <v>107</v>
      </c>
      <c r="H277" s="10">
        <v>20020</v>
      </c>
      <c r="I277" s="10" t="s">
        <v>31</v>
      </c>
      <c r="K277" t="s">
        <v>42</v>
      </c>
      <c r="L277" t="s">
        <v>671</v>
      </c>
      <c r="N277" s="11" t="str">
        <f>Base_CRM[[#This Row],[Cidade]]&amp;"/"&amp;Base_CRM[[#This Row],[Estado]]</f>
        <v>SAO PAULO/</v>
      </c>
      <c r="O277" s="12">
        <f>IFERROR(IF(Base_CRM[[#This Row],[PL Tailor]]&gt;Base_CRM[[#This Row],[PL Declarado]],1,Base_CRM[[#This Row],[PL Tailor]]/Base_CRM[[#This Row],[PL Declarado]]),0)</f>
        <v>2.6763358500000001E-2</v>
      </c>
      <c r="P277" s="11" t="str">
        <f>IF(Base_CRM[[#This Row],[Estado Civil]]="","PESSOA JURÍDICA","PESSOA FÍSICA")</f>
        <v>PESSOA FÍSICA</v>
      </c>
      <c r="Q277" t="str">
        <f>_xlfn.XLOOKUP(Base_CRM[[#This Row],[Cód do Cliente]],'[1]F &amp; O'!$A:$A,'[1]F &amp; O'!$F:$F,_xlfn.XLOOKUP(Base_CRM[[#This Row],[Assessor]],[1]DePara!$A:$A,[1]DePara!$D:$D,"Outros",0,1),0,1)</f>
        <v>Thayane Freitas</v>
      </c>
      <c r="R277" s="11" t="str">
        <f>_xlfn.XLOOKUP(Base_CRM[[#This Row],[Cód do Cliente]],'[1]F &amp; O'!$A:$A,'[1]F &amp; O'!D:D,"Sem Finder",0,1)</f>
        <v>Sem Finder</v>
      </c>
      <c r="S277" s="11" t="str">
        <f>_xlfn.XLOOKUP(Base_CRM[[#This Row],[Cód do Cliente]],'[1]F &amp; O'!$A:$A,'[1]F &amp; O'!E:E,"Sem Canal",0,1)</f>
        <v>Sem Canal</v>
      </c>
      <c r="T277" s="11" t="str">
        <f t="shared" si="4"/>
        <v>Cliente XP</v>
      </c>
    </row>
    <row r="278" spans="1:20" x14ac:dyDescent="0.3">
      <c r="A278">
        <v>2461694</v>
      </c>
      <c r="B278" s="8" t="s">
        <v>672</v>
      </c>
      <c r="C278" s="9" t="s">
        <v>74</v>
      </c>
      <c r="D278" s="8">
        <v>96.4</v>
      </c>
      <c r="E278">
        <v>100000</v>
      </c>
      <c r="F278" t="s">
        <v>29</v>
      </c>
      <c r="G278" t="s">
        <v>141</v>
      </c>
      <c r="H278" s="10">
        <v>32462</v>
      </c>
      <c r="I278" s="10" t="s">
        <v>673</v>
      </c>
      <c r="K278" t="s">
        <v>25</v>
      </c>
      <c r="L278" t="s">
        <v>674</v>
      </c>
      <c r="N278" s="11" t="str">
        <f>Base_CRM[[#This Row],[Cidade]]&amp;"/"&amp;Base_CRM[[#This Row],[Estado]]</f>
        <v>SAO BERNARDO DO CAMPO/</v>
      </c>
      <c r="O278" s="12">
        <f>IFERROR(IF(Base_CRM[[#This Row],[PL Tailor]]&gt;Base_CRM[[#This Row],[PL Declarado]],1,Base_CRM[[#This Row],[PL Tailor]]/Base_CRM[[#This Row],[PL Declarado]]),0)</f>
        <v>9.6400000000000001E-4</v>
      </c>
      <c r="P278" s="11" t="str">
        <f>IF(Base_CRM[[#This Row],[Estado Civil]]="","PESSOA JURÍDICA","PESSOA FÍSICA")</f>
        <v>PESSOA FÍSICA</v>
      </c>
      <c r="Q278" t="str">
        <f>_xlfn.XLOOKUP(Base_CRM[[#This Row],[Cód do Cliente]],'[1]F &amp; O'!$A:$A,'[1]F &amp; O'!$F:$F,_xlfn.XLOOKUP(Base_CRM[[#This Row],[Assessor]],[1]DePara!$A:$A,[1]DePara!$D:$D,"Outros",0,1),0,1)</f>
        <v>Thayane Freitas</v>
      </c>
      <c r="R278" s="11" t="str">
        <f>_xlfn.XLOOKUP(Base_CRM[[#This Row],[Cód do Cliente]],'[1]F &amp; O'!$A:$A,'[1]F &amp; O'!D:D,"Sem Finder",0,1)</f>
        <v>Sem Finder</v>
      </c>
      <c r="S278" s="11" t="str">
        <f>_xlfn.XLOOKUP(Base_CRM[[#This Row],[Cód do Cliente]],'[1]F &amp; O'!$A:$A,'[1]F &amp; O'!E:E,"Sem Canal",0,1)</f>
        <v>Camila Corrêa</v>
      </c>
      <c r="T278" s="11" t="str">
        <f t="shared" si="4"/>
        <v>Cliente XP</v>
      </c>
    </row>
    <row r="279" spans="1:20" x14ac:dyDescent="0.3">
      <c r="A279">
        <v>2461952</v>
      </c>
      <c r="B279" s="8" t="s">
        <v>675</v>
      </c>
      <c r="C279" s="9" t="s">
        <v>34</v>
      </c>
      <c r="D279" s="8">
        <v>154250.76999999999</v>
      </c>
      <c r="E279">
        <v>1000000</v>
      </c>
      <c r="F279" t="s">
        <v>22</v>
      </c>
      <c r="G279" t="s">
        <v>23</v>
      </c>
      <c r="H279" s="10">
        <v>30341</v>
      </c>
      <c r="I279" s="10" t="s">
        <v>62</v>
      </c>
      <c r="K279" t="s">
        <v>42</v>
      </c>
      <c r="L279" t="s">
        <v>676</v>
      </c>
      <c r="M279" t="s">
        <v>90</v>
      </c>
      <c r="N279" s="11" t="str">
        <f>Base_CRM[[#This Row],[Cidade]]&amp;"/"&amp;Base_CRM[[#This Row],[Estado]]</f>
        <v>Rio de Janeiro/</v>
      </c>
      <c r="O279" s="12">
        <f>IFERROR(IF(Base_CRM[[#This Row],[PL Tailor]]&gt;Base_CRM[[#This Row],[PL Declarado]],1,Base_CRM[[#This Row],[PL Tailor]]/Base_CRM[[#This Row],[PL Declarado]]),0)</f>
        <v>0.15425076999999998</v>
      </c>
      <c r="P279" s="11" t="str">
        <f>IF(Base_CRM[[#This Row],[Estado Civil]]="","PESSOA JURÍDICA","PESSOA FÍSICA")</f>
        <v>PESSOA FÍSICA</v>
      </c>
      <c r="Q279" t="str">
        <f>_xlfn.XLOOKUP(Base_CRM[[#This Row],[Cód do Cliente]],'[1]F &amp; O'!$A:$A,'[1]F &amp; O'!$F:$F,_xlfn.XLOOKUP(Base_CRM[[#This Row],[Assessor]],[1]DePara!$A:$A,[1]DePara!$D:$D,"Outros",0,1),0,1)</f>
        <v>Adonias Noronha</v>
      </c>
      <c r="R279" s="11" t="str">
        <f>_xlfn.XLOOKUP(Base_CRM[[#This Row],[Cód do Cliente]],'[1]F &amp; O'!$A:$A,'[1]F &amp; O'!D:D,"Sem Finder",0,1)</f>
        <v>Sem Finder</v>
      </c>
      <c r="S279" s="11" t="str">
        <f>_xlfn.XLOOKUP(Base_CRM[[#This Row],[Cód do Cliente]],'[1]F &amp; O'!$A:$A,'[1]F &amp; O'!E:E,"Sem Canal",0,1)</f>
        <v>Sem Canal</v>
      </c>
      <c r="T279" s="11" t="str">
        <f t="shared" si="4"/>
        <v>Cliente XP</v>
      </c>
    </row>
    <row r="280" spans="1:20" x14ac:dyDescent="0.3">
      <c r="A280">
        <v>2463230</v>
      </c>
      <c r="B280" s="8" t="s">
        <v>677</v>
      </c>
      <c r="C280" s="9" t="s">
        <v>39</v>
      </c>
      <c r="D280" s="8">
        <v>932.78</v>
      </c>
      <c r="E280">
        <v>150000</v>
      </c>
      <c r="F280" t="s">
        <v>22</v>
      </c>
      <c r="G280" t="s">
        <v>87</v>
      </c>
      <c r="H280" s="10">
        <v>35845</v>
      </c>
      <c r="I280" s="10" t="s">
        <v>31</v>
      </c>
      <c r="K280" t="s">
        <v>25</v>
      </c>
      <c r="L280" t="s">
        <v>678</v>
      </c>
      <c r="N280" s="11" t="str">
        <f>Base_CRM[[#This Row],[Cidade]]&amp;"/"&amp;Base_CRM[[#This Row],[Estado]]</f>
        <v>SAO PAULO/</v>
      </c>
      <c r="O280" s="12">
        <f>IFERROR(IF(Base_CRM[[#This Row],[PL Tailor]]&gt;Base_CRM[[#This Row],[PL Declarado]],1,Base_CRM[[#This Row],[PL Tailor]]/Base_CRM[[#This Row],[PL Declarado]]),0)</f>
        <v>6.2185333333333332E-3</v>
      </c>
      <c r="P280" s="11" t="str">
        <f>IF(Base_CRM[[#This Row],[Estado Civil]]="","PESSOA JURÍDICA","PESSOA FÍSICA")</f>
        <v>PESSOA FÍSICA</v>
      </c>
      <c r="Q280" t="str">
        <f>_xlfn.XLOOKUP(Base_CRM[[#This Row],[Cód do Cliente]],'[1]F &amp; O'!$A:$A,'[1]F &amp; O'!$F:$F,_xlfn.XLOOKUP(Base_CRM[[#This Row],[Assessor]],[1]DePara!$A:$A,[1]DePara!$D:$D,"Outros",0,1),0,1)</f>
        <v>Gestora</v>
      </c>
      <c r="R280" s="11" t="str">
        <f>_xlfn.XLOOKUP(Base_CRM[[#This Row],[Cód do Cliente]],'[1]F &amp; O'!$A:$A,'[1]F &amp; O'!D:D,"Sem Finder",0,1)</f>
        <v>Sem Finder</v>
      </c>
      <c r="S280" s="11" t="str">
        <f>_xlfn.XLOOKUP(Base_CRM[[#This Row],[Cód do Cliente]],'[1]F &amp; O'!$A:$A,'[1]F &amp; O'!E:E,"Sem Canal",0,1)</f>
        <v>Gestora</v>
      </c>
      <c r="T280" s="11" t="str">
        <f t="shared" si="4"/>
        <v>Cliente XP</v>
      </c>
    </row>
    <row r="281" spans="1:20" x14ac:dyDescent="0.3">
      <c r="A281">
        <v>2470247</v>
      </c>
      <c r="B281" s="8" t="s">
        <v>679</v>
      </c>
      <c r="C281" s="9" t="s">
        <v>39</v>
      </c>
      <c r="D281" s="8">
        <v>726115.31</v>
      </c>
      <c r="E281">
        <v>1000000</v>
      </c>
      <c r="F281" t="s">
        <v>29</v>
      </c>
      <c r="G281" t="s">
        <v>52</v>
      </c>
      <c r="H281" s="10">
        <v>32194</v>
      </c>
      <c r="I281" s="10" t="s">
        <v>115</v>
      </c>
      <c r="K281" t="s">
        <v>25</v>
      </c>
      <c r="L281" t="s">
        <v>680</v>
      </c>
      <c r="N281" s="11" t="str">
        <f>Base_CRM[[#This Row],[Cidade]]&amp;"/"&amp;Base_CRM[[#This Row],[Estado]]</f>
        <v>BARUERI/</v>
      </c>
      <c r="O281" s="12">
        <f>IFERROR(IF(Base_CRM[[#This Row],[PL Tailor]]&gt;Base_CRM[[#This Row],[PL Declarado]],1,Base_CRM[[#This Row],[PL Tailor]]/Base_CRM[[#This Row],[PL Declarado]]),0)</f>
        <v>0.72611531000000007</v>
      </c>
      <c r="P281" s="11" t="str">
        <f>IF(Base_CRM[[#This Row],[Estado Civil]]="","PESSOA JURÍDICA","PESSOA FÍSICA")</f>
        <v>PESSOA FÍSICA</v>
      </c>
      <c r="Q281" t="str">
        <f>_xlfn.XLOOKUP(Base_CRM[[#This Row],[Cód do Cliente]],'[1]F &amp; O'!$A:$A,'[1]F &amp; O'!$F:$F,_xlfn.XLOOKUP(Base_CRM[[#This Row],[Assessor]],[1]DePara!$A:$A,[1]DePara!$D:$D,"Outros",0,1),0,1)</f>
        <v>Gestora</v>
      </c>
      <c r="R281" s="11" t="str">
        <f>_xlfn.XLOOKUP(Base_CRM[[#This Row],[Cód do Cliente]],'[1]F &amp; O'!$A:$A,'[1]F &amp; O'!D:D,"Sem Finder",0,1)</f>
        <v>Sem Finder</v>
      </c>
      <c r="S281" s="11" t="str">
        <f>_xlfn.XLOOKUP(Base_CRM[[#This Row],[Cód do Cliente]],'[1]F &amp; O'!$A:$A,'[1]F &amp; O'!E:E,"Sem Canal",0,1)</f>
        <v>Gestora</v>
      </c>
      <c r="T281" s="11" t="str">
        <f t="shared" si="4"/>
        <v>Cliente XP</v>
      </c>
    </row>
    <row r="282" spans="1:20" x14ac:dyDescent="0.3">
      <c r="A282">
        <v>2486913</v>
      </c>
      <c r="B282" s="8" t="s">
        <v>681</v>
      </c>
      <c r="C282" s="9" t="s">
        <v>39</v>
      </c>
      <c r="D282" s="8">
        <v>3258284.75</v>
      </c>
      <c r="E282">
        <v>3000000</v>
      </c>
      <c r="F282" t="s">
        <v>22</v>
      </c>
      <c r="G282" t="s">
        <v>35</v>
      </c>
      <c r="H282" s="10">
        <v>24704</v>
      </c>
      <c r="I282" s="10" t="s">
        <v>31</v>
      </c>
      <c r="K282" t="s">
        <v>68</v>
      </c>
      <c r="L282" t="s">
        <v>682</v>
      </c>
      <c r="N282" s="11" t="str">
        <f>Base_CRM[[#This Row],[Cidade]]&amp;"/"&amp;Base_CRM[[#This Row],[Estado]]</f>
        <v>SAO PAULO/</v>
      </c>
      <c r="O282" s="12">
        <f>IFERROR(IF(Base_CRM[[#This Row],[PL Tailor]]&gt;Base_CRM[[#This Row],[PL Declarado]],1,Base_CRM[[#This Row],[PL Tailor]]/Base_CRM[[#This Row],[PL Declarado]]),0)</f>
        <v>1</v>
      </c>
      <c r="P282" s="11" t="str">
        <f>IF(Base_CRM[[#This Row],[Estado Civil]]="","PESSOA JURÍDICA","PESSOA FÍSICA")</f>
        <v>PESSOA FÍSICA</v>
      </c>
      <c r="Q282" t="str">
        <f>_xlfn.XLOOKUP(Base_CRM[[#This Row],[Cód do Cliente]],'[1]F &amp; O'!$A:$A,'[1]F &amp; O'!$F:$F,_xlfn.XLOOKUP(Base_CRM[[#This Row],[Assessor]],[1]DePara!$A:$A,[1]DePara!$D:$D,"Outros",0,1),0,1)</f>
        <v>Gestora</v>
      </c>
      <c r="R282" s="11" t="str">
        <f>_xlfn.XLOOKUP(Base_CRM[[#This Row],[Cód do Cliente]],'[1]F &amp; O'!$A:$A,'[1]F &amp; O'!D:D,"Sem Finder",0,1)</f>
        <v>Pedro Chagas</v>
      </c>
      <c r="S282" s="11" t="str">
        <f>_xlfn.XLOOKUP(Base_CRM[[#This Row],[Cód do Cliente]],'[1]F &amp; O'!$A:$A,'[1]F &amp; O'!E:E,"Sem Canal",0,1)</f>
        <v>Gestora</v>
      </c>
      <c r="T282" s="11" t="str">
        <f t="shared" si="4"/>
        <v>Cliente XP</v>
      </c>
    </row>
    <row r="283" spans="1:20" x14ac:dyDescent="0.3">
      <c r="A283">
        <v>248739</v>
      </c>
      <c r="B283" s="8" t="s">
        <v>683</v>
      </c>
      <c r="C283" s="9" t="s">
        <v>48</v>
      </c>
      <c r="D283" s="8">
        <v>157.58000000000001</v>
      </c>
      <c r="E283">
        <v>8900000</v>
      </c>
      <c r="F283" t="s">
        <v>22</v>
      </c>
      <c r="G283" t="s">
        <v>87</v>
      </c>
      <c r="H283" s="10">
        <v>30869</v>
      </c>
      <c r="I283" s="10" t="s">
        <v>24</v>
      </c>
      <c r="K283" t="s">
        <v>25</v>
      </c>
      <c r="L283" t="s">
        <v>684</v>
      </c>
      <c r="N283" s="11" t="str">
        <f>Base_CRM[[#This Row],[Cidade]]&amp;"/"&amp;Base_CRM[[#This Row],[Estado]]</f>
        <v>RIO DE JANEIRO/</v>
      </c>
      <c r="O283" s="12">
        <f>IFERROR(IF(Base_CRM[[#This Row],[PL Tailor]]&gt;Base_CRM[[#This Row],[PL Declarado]],1,Base_CRM[[#This Row],[PL Tailor]]/Base_CRM[[#This Row],[PL Declarado]]),0)</f>
        <v>1.7705617977528092E-5</v>
      </c>
      <c r="P283" s="11" t="str">
        <f>IF(Base_CRM[[#This Row],[Estado Civil]]="","PESSOA JURÍDICA","PESSOA FÍSICA")</f>
        <v>PESSOA FÍSICA</v>
      </c>
      <c r="Q283" t="str">
        <f>_xlfn.XLOOKUP(Base_CRM[[#This Row],[Cód do Cliente]],'[1]F &amp; O'!$A:$A,'[1]F &amp; O'!$F:$F,_xlfn.XLOOKUP(Base_CRM[[#This Row],[Assessor]],[1]DePara!$A:$A,[1]DePara!$D:$D,"Outros",0,1),0,1)</f>
        <v>Raphael Farias</v>
      </c>
      <c r="R283" s="11" t="str">
        <f>_xlfn.XLOOKUP(Base_CRM[[#This Row],[Cód do Cliente]],'[1]F &amp; O'!$A:$A,'[1]F &amp; O'!D:D,"Sem Finder",0,1)</f>
        <v>Sem Finder</v>
      </c>
      <c r="S283" s="11" t="str">
        <f>_xlfn.XLOOKUP(Base_CRM[[#This Row],[Cód do Cliente]],'[1]F &amp; O'!$A:$A,'[1]F &amp; O'!E:E,"Sem Canal",0,1)</f>
        <v>Sem Canal</v>
      </c>
      <c r="T283" s="11" t="str">
        <f t="shared" si="4"/>
        <v>Cliente XP</v>
      </c>
    </row>
    <row r="284" spans="1:20" x14ac:dyDescent="0.3">
      <c r="A284">
        <v>2488550</v>
      </c>
      <c r="B284" s="8" t="s">
        <v>685</v>
      </c>
      <c r="C284" s="9" t="s">
        <v>74</v>
      </c>
      <c r="D284" s="8">
        <v>416819.53</v>
      </c>
      <c r="E284">
        <v>400000</v>
      </c>
      <c r="F284" t="s">
        <v>22</v>
      </c>
      <c r="G284" t="s">
        <v>686</v>
      </c>
      <c r="H284" s="10">
        <v>33576</v>
      </c>
      <c r="I284" s="10" t="s">
        <v>349</v>
      </c>
      <c r="K284" t="s">
        <v>25</v>
      </c>
      <c r="L284" t="s">
        <v>687</v>
      </c>
      <c r="N284" s="11" t="str">
        <f>Base_CRM[[#This Row],[Cidade]]&amp;"/"&amp;Base_CRM[[#This Row],[Estado]]</f>
        <v>São Paulo/</v>
      </c>
      <c r="O284" s="12">
        <f>IFERROR(IF(Base_CRM[[#This Row],[PL Tailor]]&gt;Base_CRM[[#This Row],[PL Declarado]],1,Base_CRM[[#This Row],[PL Tailor]]/Base_CRM[[#This Row],[PL Declarado]]),0)</f>
        <v>1</v>
      </c>
      <c r="P284" s="11" t="str">
        <f>IF(Base_CRM[[#This Row],[Estado Civil]]="","PESSOA JURÍDICA","PESSOA FÍSICA")</f>
        <v>PESSOA FÍSICA</v>
      </c>
      <c r="Q284" t="str">
        <f>_xlfn.XLOOKUP(Base_CRM[[#This Row],[Cód do Cliente]],'[1]F &amp; O'!$A:$A,'[1]F &amp; O'!$F:$F,_xlfn.XLOOKUP(Base_CRM[[#This Row],[Assessor]],[1]DePara!$A:$A,[1]DePara!$D:$D,"Outros",0,1),0,1)</f>
        <v>Thayane Freitas</v>
      </c>
      <c r="R284" s="11" t="str">
        <f>_xlfn.XLOOKUP(Base_CRM[[#This Row],[Cód do Cliente]],'[1]F &amp; O'!$A:$A,'[1]F &amp; O'!D:D,"Sem Finder",0,1)</f>
        <v>Sem Finder</v>
      </c>
      <c r="S284" s="11" t="str">
        <f>_xlfn.XLOOKUP(Base_CRM[[#This Row],[Cód do Cliente]],'[1]F &amp; O'!$A:$A,'[1]F &amp; O'!E:E,"Sem Canal",0,1)</f>
        <v>Sem Canal</v>
      </c>
      <c r="T284" s="11" t="str">
        <f t="shared" si="4"/>
        <v>Cliente XP</v>
      </c>
    </row>
    <row r="285" spans="1:20" x14ac:dyDescent="0.3">
      <c r="A285">
        <v>2492322</v>
      </c>
      <c r="B285" s="8" t="s">
        <v>688</v>
      </c>
      <c r="C285" s="9" t="s">
        <v>21</v>
      </c>
      <c r="D285" s="8">
        <v>1530424.28</v>
      </c>
      <c r="E285">
        <v>1000000</v>
      </c>
      <c r="F285" t="s">
        <v>22</v>
      </c>
      <c r="G285" t="s">
        <v>30</v>
      </c>
      <c r="H285" s="10">
        <v>24218</v>
      </c>
      <c r="I285" s="10" t="s">
        <v>689</v>
      </c>
      <c r="K285" t="s">
        <v>42</v>
      </c>
      <c r="L285" t="s">
        <v>690</v>
      </c>
      <c r="M285" t="s">
        <v>64</v>
      </c>
      <c r="N285" s="11" t="str">
        <f>Base_CRM[[#This Row],[Cidade]]&amp;"/"&amp;Base_CRM[[#This Row],[Estado]]</f>
        <v>MACAE/</v>
      </c>
      <c r="O285" s="12">
        <f>IFERROR(IF(Base_CRM[[#This Row],[PL Tailor]]&gt;Base_CRM[[#This Row],[PL Declarado]],1,Base_CRM[[#This Row],[PL Tailor]]/Base_CRM[[#This Row],[PL Declarado]]),0)</f>
        <v>1</v>
      </c>
      <c r="P285" s="11" t="str">
        <f>IF(Base_CRM[[#This Row],[Estado Civil]]="","PESSOA JURÍDICA","PESSOA FÍSICA")</f>
        <v>PESSOA FÍSICA</v>
      </c>
      <c r="Q285" t="str">
        <f>_xlfn.XLOOKUP(Base_CRM[[#This Row],[Cód do Cliente]],'[1]F &amp; O'!$A:$A,'[1]F &amp; O'!$F:$F,_xlfn.XLOOKUP(Base_CRM[[#This Row],[Assessor]],[1]DePara!$A:$A,[1]DePara!$D:$D,"Outros",0,1),0,1)</f>
        <v>Leonardo Burle</v>
      </c>
      <c r="R285" s="11" t="str">
        <f>_xlfn.XLOOKUP(Base_CRM[[#This Row],[Cód do Cliente]],'[1]F &amp; O'!$A:$A,'[1]F &amp; O'!D:D,"Sem Finder",0,1)</f>
        <v>Sem Finder</v>
      </c>
      <c r="S285" s="11" t="str">
        <f>_xlfn.XLOOKUP(Base_CRM[[#This Row],[Cód do Cliente]],'[1]F &amp; O'!$A:$A,'[1]F &amp; O'!E:E,"Sem Canal",0,1)</f>
        <v>Sem Canal</v>
      </c>
      <c r="T285" s="11" t="str">
        <f t="shared" si="4"/>
        <v>Cliente XP</v>
      </c>
    </row>
    <row r="286" spans="1:20" x14ac:dyDescent="0.3">
      <c r="A286">
        <v>2498186</v>
      </c>
      <c r="B286" s="8" t="s">
        <v>691</v>
      </c>
      <c r="C286" s="9" t="s">
        <v>39</v>
      </c>
      <c r="D286" s="8">
        <v>770652.9</v>
      </c>
      <c r="E286">
        <v>1000000</v>
      </c>
      <c r="F286" t="s">
        <v>29</v>
      </c>
      <c r="G286" t="s">
        <v>87</v>
      </c>
      <c r="H286" s="10">
        <v>33830</v>
      </c>
      <c r="I286" s="10" t="s">
        <v>31</v>
      </c>
      <c r="K286" t="s">
        <v>25</v>
      </c>
      <c r="L286" t="s">
        <v>692</v>
      </c>
      <c r="M286" t="s">
        <v>27</v>
      </c>
      <c r="N286" s="11" t="str">
        <f>Base_CRM[[#This Row],[Cidade]]&amp;"/"&amp;Base_CRM[[#This Row],[Estado]]</f>
        <v>SAO PAULO/</v>
      </c>
      <c r="O286" s="12">
        <f>IFERROR(IF(Base_CRM[[#This Row],[PL Tailor]]&gt;Base_CRM[[#This Row],[PL Declarado]],1,Base_CRM[[#This Row],[PL Tailor]]/Base_CRM[[#This Row],[PL Declarado]]),0)</f>
        <v>0.77065289999999997</v>
      </c>
      <c r="P286" s="11" t="str">
        <f>IF(Base_CRM[[#This Row],[Estado Civil]]="","PESSOA JURÍDICA","PESSOA FÍSICA")</f>
        <v>PESSOA FÍSICA</v>
      </c>
      <c r="Q286" t="str">
        <f>_xlfn.XLOOKUP(Base_CRM[[#This Row],[Cód do Cliente]],'[1]F &amp; O'!$A:$A,'[1]F &amp; O'!$F:$F,_xlfn.XLOOKUP(Base_CRM[[#This Row],[Assessor]],[1]DePara!$A:$A,[1]DePara!$D:$D,"Outros",0,1),0,1)</f>
        <v>Gestora</v>
      </c>
      <c r="R286" s="11" t="str">
        <f>_xlfn.XLOOKUP(Base_CRM[[#This Row],[Cód do Cliente]],'[1]F &amp; O'!$A:$A,'[1]F &amp; O'!D:D,"Sem Finder",0,1)</f>
        <v>Pedro Chagas</v>
      </c>
      <c r="S286" s="11" t="str">
        <f>_xlfn.XLOOKUP(Base_CRM[[#This Row],[Cód do Cliente]],'[1]F &amp; O'!$A:$A,'[1]F &amp; O'!E:E,"Sem Canal",0,1)</f>
        <v>Gestora</v>
      </c>
      <c r="T286" s="11" t="str">
        <f t="shared" si="4"/>
        <v>Cliente XP</v>
      </c>
    </row>
    <row r="287" spans="1:20" x14ac:dyDescent="0.3">
      <c r="A287">
        <v>2506390</v>
      </c>
      <c r="B287" s="8" t="s">
        <v>693</v>
      </c>
      <c r="C287" s="9" t="s">
        <v>34</v>
      </c>
      <c r="D287" s="8">
        <v>644381.55000000005</v>
      </c>
      <c r="E287">
        <v>1100000</v>
      </c>
      <c r="F287" t="s">
        <v>22</v>
      </c>
      <c r="G287" t="s">
        <v>23</v>
      </c>
      <c r="H287" s="10">
        <v>31905</v>
      </c>
      <c r="I287" s="10" t="s">
        <v>24</v>
      </c>
      <c r="K287" t="s">
        <v>25</v>
      </c>
      <c r="L287" t="s">
        <v>694</v>
      </c>
      <c r="M287" t="s">
        <v>695</v>
      </c>
      <c r="N287" s="11" t="str">
        <f>Base_CRM[[#This Row],[Cidade]]&amp;"/"&amp;Base_CRM[[#This Row],[Estado]]</f>
        <v>RIO DE JANEIRO/</v>
      </c>
      <c r="O287" s="12">
        <f>IFERROR(IF(Base_CRM[[#This Row],[PL Tailor]]&gt;Base_CRM[[#This Row],[PL Declarado]],1,Base_CRM[[#This Row],[PL Tailor]]/Base_CRM[[#This Row],[PL Declarado]]),0)</f>
        <v>0.58580140909090916</v>
      </c>
      <c r="P287" s="11" t="str">
        <f>IF(Base_CRM[[#This Row],[Estado Civil]]="","PESSOA JURÍDICA","PESSOA FÍSICA")</f>
        <v>PESSOA FÍSICA</v>
      </c>
      <c r="Q287" t="str">
        <f>_xlfn.XLOOKUP(Base_CRM[[#This Row],[Cód do Cliente]],'[1]F &amp; O'!$A:$A,'[1]F &amp; O'!$F:$F,_xlfn.XLOOKUP(Base_CRM[[#This Row],[Assessor]],[1]DePara!$A:$A,[1]DePara!$D:$D,"Outros",0,1),0,1)</f>
        <v>Adonias Noronha</v>
      </c>
      <c r="R287" s="11" t="str">
        <f>_xlfn.XLOOKUP(Base_CRM[[#This Row],[Cód do Cliente]],'[1]F &amp; O'!$A:$A,'[1]F &amp; O'!D:D,"Sem Finder",0,1)</f>
        <v>Sem Finder</v>
      </c>
      <c r="S287" s="11" t="str">
        <f>_xlfn.XLOOKUP(Base_CRM[[#This Row],[Cód do Cliente]],'[1]F &amp; O'!$A:$A,'[1]F &amp; O'!E:E,"Sem Canal",0,1)</f>
        <v>Sem Canal</v>
      </c>
      <c r="T287" s="11" t="str">
        <f t="shared" si="4"/>
        <v>Cliente XP</v>
      </c>
    </row>
    <row r="288" spans="1:20" x14ac:dyDescent="0.3">
      <c r="A288">
        <v>2507300</v>
      </c>
      <c r="B288" s="8" t="s">
        <v>696</v>
      </c>
      <c r="C288" s="9" t="s">
        <v>34</v>
      </c>
      <c r="D288" s="8">
        <v>865737.11</v>
      </c>
      <c r="E288">
        <v>1000000</v>
      </c>
      <c r="F288" t="s">
        <v>22</v>
      </c>
      <c r="G288" t="s">
        <v>67</v>
      </c>
      <c r="H288" s="10">
        <v>30652</v>
      </c>
      <c r="I288" s="10" t="s">
        <v>247</v>
      </c>
      <c r="K288" t="s">
        <v>104</v>
      </c>
      <c r="L288" t="s">
        <v>697</v>
      </c>
      <c r="M288" t="s">
        <v>64</v>
      </c>
      <c r="N288" s="11" t="str">
        <f>Base_CRM[[#This Row],[Cidade]]&amp;"/"&amp;Base_CRM[[#This Row],[Estado]]</f>
        <v>Campinas/</v>
      </c>
      <c r="O288" s="12">
        <f>IFERROR(IF(Base_CRM[[#This Row],[PL Tailor]]&gt;Base_CRM[[#This Row],[PL Declarado]],1,Base_CRM[[#This Row],[PL Tailor]]/Base_CRM[[#This Row],[PL Declarado]]),0)</f>
        <v>0.86573710999999998</v>
      </c>
      <c r="P288" s="11" t="str">
        <f>IF(Base_CRM[[#This Row],[Estado Civil]]="","PESSOA JURÍDICA","PESSOA FÍSICA")</f>
        <v>PESSOA FÍSICA</v>
      </c>
      <c r="Q288" t="str">
        <f>_xlfn.XLOOKUP(Base_CRM[[#This Row],[Cód do Cliente]],'[1]F &amp; O'!$A:$A,'[1]F &amp; O'!$F:$F,_xlfn.XLOOKUP(Base_CRM[[#This Row],[Assessor]],[1]DePara!$A:$A,[1]DePara!$D:$D,"Outros",0,1),0,1)</f>
        <v>Adonias Noronha</v>
      </c>
      <c r="R288" s="11" t="str">
        <f>_xlfn.XLOOKUP(Base_CRM[[#This Row],[Cód do Cliente]],'[1]F &amp; O'!$A:$A,'[1]F &amp; O'!D:D,"Sem Finder",0,1)</f>
        <v>Sem Finder</v>
      </c>
      <c r="S288" s="11" t="str">
        <f>_xlfn.XLOOKUP(Base_CRM[[#This Row],[Cód do Cliente]],'[1]F &amp; O'!$A:$A,'[1]F &amp; O'!E:E,"Sem Canal",0,1)</f>
        <v>Sem Canal</v>
      </c>
      <c r="T288" s="11" t="str">
        <f t="shared" si="4"/>
        <v>Cliente XP</v>
      </c>
    </row>
    <row r="289" spans="1:20" x14ac:dyDescent="0.3">
      <c r="A289">
        <v>2508081</v>
      </c>
      <c r="B289" s="8" t="s">
        <v>698</v>
      </c>
      <c r="C289" s="9" t="s">
        <v>34</v>
      </c>
      <c r="D289" s="8">
        <v>361644.01</v>
      </c>
      <c r="E289">
        <v>1000000</v>
      </c>
      <c r="F289" t="s">
        <v>22</v>
      </c>
      <c r="G289" t="s">
        <v>389</v>
      </c>
      <c r="H289" s="10">
        <v>32353</v>
      </c>
      <c r="I289" s="10" t="s">
        <v>699</v>
      </c>
      <c r="K289" t="s">
        <v>68</v>
      </c>
      <c r="L289" t="s">
        <v>700</v>
      </c>
      <c r="M289" t="s">
        <v>355</v>
      </c>
      <c r="N289" s="11" t="str">
        <f>Base_CRM[[#This Row],[Cidade]]&amp;"/"&amp;Base_CRM[[#This Row],[Estado]]</f>
        <v>Volta Redonda/</v>
      </c>
      <c r="O289" s="12">
        <f>IFERROR(IF(Base_CRM[[#This Row],[PL Tailor]]&gt;Base_CRM[[#This Row],[PL Declarado]],1,Base_CRM[[#This Row],[PL Tailor]]/Base_CRM[[#This Row],[PL Declarado]]),0)</f>
        <v>0.36164401000000002</v>
      </c>
      <c r="P289" s="11" t="str">
        <f>IF(Base_CRM[[#This Row],[Estado Civil]]="","PESSOA JURÍDICA","PESSOA FÍSICA")</f>
        <v>PESSOA FÍSICA</v>
      </c>
      <c r="Q289" t="str">
        <f>_xlfn.XLOOKUP(Base_CRM[[#This Row],[Cód do Cliente]],'[1]F &amp; O'!$A:$A,'[1]F &amp; O'!$F:$F,_xlfn.XLOOKUP(Base_CRM[[#This Row],[Assessor]],[1]DePara!$A:$A,[1]DePara!$D:$D,"Outros",0,1),0,1)</f>
        <v>Adonias Noronha</v>
      </c>
      <c r="R289" s="11" t="str">
        <f>_xlfn.XLOOKUP(Base_CRM[[#This Row],[Cód do Cliente]],'[1]F &amp; O'!$A:$A,'[1]F &amp; O'!D:D,"Sem Finder",0,1)</f>
        <v>Sem Finder</v>
      </c>
      <c r="S289" s="11" t="str">
        <f>_xlfn.XLOOKUP(Base_CRM[[#This Row],[Cód do Cliente]],'[1]F &amp; O'!$A:$A,'[1]F &amp; O'!E:E,"Sem Canal",0,1)</f>
        <v>Camila Corrêa</v>
      </c>
      <c r="T289" s="11" t="str">
        <f t="shared" si="4"/>
        <v>Cliente XP</v>
      </c>
    </row>
    <row r="290" spans="1:20" x14ac:dyDescent="0.3">
      <c r="A290">
        <v>2513921</v>
      </c>
      <c r="B290" s="8" t="s">
        <v>701</v>
      </c>
      <c r="C290" s="9" t="s">
        <v>74</v>
      </c>
      <c r="D290" s="8">
        <v>1206122.1200000001</v>
      </c>
      <c r="E290">
        <v>1305485</v>
      </c>
      <c r="F290" t="s">
        <v>29</v>
      </c>
      <c r="G290" t="s">
        <v>35</v>
      </c>
      <c r="H290" s="10">
        <v>32111</v>
      </c>
      <c r="I290" s="10" t="s">
        <v>349</v>
      </c>
      <c r="K290" t="s">
        <v>42</v>
      </c>
      <c r="L290" t="s">
        <v>702</v>
      </c>
      <c r="M290" t="s">
        <v>64</v>
      </c>
      <c r="N290" s="11" t="str">
        <f>Base_CRM[[#This Row],[Cidade]]&amp;"/"&amp;Base_CRM[[#This Row],[Estado]]</f>
        <v>São Paulo/</v>
      </c>
      <c r="O290" s="12">
        <f>IFERROR(IF(Base_CRM[[#This Row],[PL Tailor]]&gt;Base_CRM[[#This Row],[PL Declarado]],1,Base_CRM[[#This Row],[PL Tailor]]/Base_CRM[[#This Row],[PL Declarado]]),0)</f>
        <v>0.92388814884889536</v>
      </c>
      <c r="P290" s="11" t="str">
        <f>IF(Base_CRM[[#This Row],[Estado Civil]]="","PESSOA JURÍDICA","PESSOA FÍSICA")</f>
        <v>PESSOA FÍSICA</v>
      </c>
      <c r="Q290" t="str">
        <f>_xlfn.XLOOKUP(Base_CRM[[#This Row],[Cód do Cliente]],'[1]F &amp; O'!$A:$A,'[1]F &amp; O'!$F:$F,_xlfn.XLOOKUP(Base_CRM[[#This Row],[Assessor]],[1]DePara!$A:$A,[1]DePara!$D:$D,"Outros",0,1),0,1)</f>
        <v>Thayane Freitas</v>
      </c>
      <c r="R290" s="11" t="str">
        <f>_xlfn.XLOOKUP(Base_CRM[[#This Row],[Cód do Cliente]],'[1]F &amp; O'!$A:$A,'[1]F &amp; O'!D:D,"Sem Finder",0,1)</f>
        <v>Sem Finder</v>
      </c>
      <c r="S290" s="11" t="str">
        <f>_xlfn.XLOOKUP(Base_CRM[[#This Row],[Cód do Cliente]],'[1]F &amp; O'!$A:$A,'[1]F &amp; O'!E:E,"Sem Canal",0,1)</f>
        <v>Sem Canal</v>
      </c>
      <c r="T290" s="11" t="str">
        <f t="shared" si="4"/>
        <v>Cliente XP</v>
      </c>
    </row>
    <row r="291" spans="1:20" x14ac:dyDescent="0.3">
      <c r="A291">
        <v>2517364</v>
      </c>
      <c r="B291" s="8" t="s">
        <v>703</v>
      </c>
      <c r="C291" s="9" t="s">
        <v>21</v>
      </c>
      <c r="D291" s="8">
        <v>221.33</v>
      </c>
      <c r="E291">
        <v>1000000</v>
      </c>
      <c r="F291" t="s">
        <v>22</v>
      </c>
      <c r="G291" t="s">
        <v>87</v>
      </c>
      <c r="H291" s="10">
        <v>35415</v>
      </c>
      <c r="I291" s="10" t="s">
        <v>24</v>
      </c>
      <c r="K291" t="s">
        <v>25</v>
      </c>
      <c r="L291" t="s">
        <v>704</v>
      </c>
      <c r="N291" s="11" t="str">
        <f>Base_CRM[[#This Row],[Cidade]]&amp;"/"&amp;Base_CRM[[#This Row],[Estado]]</f>
        <v>RIO DE JANEIRO/</v>
      </c>
      <c r="O291" s="12">
        <f>IFERROR(IF(Base_CRM[[#This Row],[PL Tailor]]&gt;Base_CRM[[#This Row],[PL Declarado]],1,Base_CRM[[#This Row],[PL Tailor]]/Base_CRM[[#This Row],[PL Declarado]]),0)</f>
        <v>2.2133000000000002E-4</v>
      </c>
      <c r="P291" s="11" t="str">
        <f>IF(Base_CRM[[#This Row],[Estado Civil]]="","PESSOA JURÍDICA","PESSOA FÍSICA")</f>
        <v>PESSOA FÍSICA</v>
      </c>
      <c r="Q291" t="str">
        <f>_xlfn.XLOOKUP(Base_CRM[[#This Row],[Cód do Cliente]],'[1]F &amp; O'!$A:$A,'[1]F &amp; O'!$F:$F,_xlfn.XLOOKUP(Base_CRM[[#This Row],[Assessor]],[1]DePara!$A:$A,[1]DePara!$D:$D,"Outros",0,1),0,1)</f>
        <v>Leonardo Burle</v>
      </c>
      <c r="R291" s="11" t="str">
        <f>_xlfn.XLOOKUP(Base_CRM[[#This Row],[Cód do Cliente]],'[1]F &amp; O'!$A:$A,'[1]F &amp; O'!D:D,"Sem Finder",0,1)</f>
        <v>Sem Finder</v>
      </c>
      <c r="S291" s="11" t="str">
        <f>_xlfn.XLOOKUP(Base_CRM[[#This Row],[Cód do Cliente]],'[1]F &amp; O'!$A:$A,'[1]F &amp; O'!E:E,"Sem Canal",0,1)</f>
        <v>Sem Canal</v>
      </c>
      <c r="T291" s="11" t="str">
        <f t="shared" si="4"/>
        <v>Cliente XP</v>
      </c>
    </row>
    <row r="292" spans="1:20" x14ac:dyDescent="0.3">
      <c r="A292">
        <v>2525248</v>
      </c>
      <c r="B292" s="8" t="s">
        <v>705</v>
      </c>
      <c r="C292" s="9" t="s">
        <v>21</v>
      </c>
      <c r="D292" s="8">
        <v>47929856.090000004</v>
      </c>
      <c r="E292">
        <v>20000000</v>
      </c>
      <c r="F292" t="s">
        <v>29</v>
      </c>
      <c r="G292" t="s">
        <v>96</v>
      </c>
      <c r="H292" s="10">
        <v>31373</v>
      </c>
      <c r="I292" s="10" t="s">
        <v>24</v>
      </c>
      <c r="K292" t="s">
        <v>42</v>
      </c>
      <c r="L292" t="s">
        <v>706</v>
      </c>
      <c r="M292" t="s">
        <v>64</v>
      </c>
      <c r="N292" s="11" t="str">
        <f>Base_CRM[[#This Row],[Cidade]]&amp;"/"&amp;Base_CRM[[#This Row],[Estado]]</f>
        <v>RIO DE JANEIRO/</v>
      </c>
      <c r="O292" s="12">
        <f>IFERROR(IF(Base_CRM[[#This Row],[PL Tailor]]&gt;Base_CRM[[#This Row],[PL Declarado]],1,Base_CRM[[#This Row],[PL Tailor]]/Base_CRM[[#This Row],[PL Declarado]]),0)</f>
        <v>1</v>
      </c>
      <c r="P292" s="11" t="str">
        <f>IF(Base_CRM[[#This Row],[Estado Civil]]="","PESSOA JURÍDICA","PESSOA FÍSICA")</f>
        <v>PESSOA FÍSICA</v>
      </c>
      <c r="Q292" t="str">
        <f>_xlfn.XLOOKUP(Base_CRM[[#This Row],[Cód do Cliente]],'[1]F &amp; O'!$A:$A,'[1]F &amp; O'!$F:$F,_xlfn.XLOOKUP(Base_CRM[[#This Row],[Assessor]],[1]DePara!$A:$A,[1]DePara!$D:$D,"Outros",0,1),0,1)</f>
        <v>Leonardo Burle</v>
      </c>
      <c r="R292" s="11" t="str">
        <f>_xlfn.XLOOKUP(Base_CRM[[#This Row],[Cód do Cliente]],'[1]F &amp; O'!$A:$A,'[1]F &amp; O'!D:D,"Sem Finder",0,1)</f>
        <v>Sem Finder</v>
      </c>
      <c r="S292" s="11" t="str">
        <f>_xlfn.XLOOKUP(Base_CRM[[#This Row],[Cód do Cliente]],'[1]F &amp; O'!$A:$A,'[1]F &amp; O'!E:E,"Sem Canal",0,1)</f>
        <v>Sem Canal</v>
      </c>
      <c r="T292" s="11" t="str">
        <f t="shared" si="4"/>
        <v>Cliente XP</v>
      </c>
    </row>
    <row r="293" spans="1:20" x14ac:dyDescent="0.3">
      <c r="A293">
        <v>2529709</v>
      </c>
      <c r="B293" s="8" t="s">
        <v>707</v>
      </c>
      <c r="C293" s="9" t="s">
        <v>39</v>
      </c>
      <c r="D293" s="8">
        <v>306522.96999999997</v>
      </c>
      <c r="E293">
        <v>250000</v>
      </c>
      <c r="F293" t="s">
        <v>29</v>
      </c>
      <c r="G293" t="s">
        <v>45</v>
      </c>
      <c r="H293" s="10">
        <v>25352</v>
      </c>
      <c r="I293" s="10" t="s">
        <v>31</v>
      </c>
      <c r="K293" t="s">
        <v>68</v>
      </c>
      <c r="L293" t="s">
        <v>708</v>
      </c>
      <c r="N293" s="11" t="str">
        <f>Base_CRM[[#This Row],[Cidade]]&amp;"/"&amp;Base_CRM[[#This Row],[Estado]]</f>
        <v>SAO PAULO/</v>
      </c>
      <c r="O293" s="12">
        <f>IFERROR(IF(Base_CRM[[#This Row],[PL Tailor]]&gt;Base_CRM[[#This Row],[PL Declarado]],1,Base_CRM[[#This Row],[PL Tailor]]/Base_CRM[[#This Row],[PL Declarado]]),0)</f>
        <v>1</v>
      </c>
      <c r="P293" s="11" t="str">
        <f>IF(Base_CRM[[#This Row],[Estado Civil]]="","PESSOA JURÍDICA","PESSOA FÍSICA")</f>
        <v>PESSOA FÍSICA</v>
      </c>
      <c r="Q293" t="str">
        <f>_xlfn.XLOOKUP(Base_CRM[[#This Row],[Cód do Cliente]],'[1]F &amp; O'!$A:$A,'[1]F &amp; O'!$F:$F,_xlfn.XLOOKUP(Base_CRM[[#This Row],[Assessor]],[1]DePara!$A:$A,[1]DePara!$D:$D,"Outros",0,1),0,1)</f>
        <v>Gestora</v>
      </c>
      <c r="R293" s="11" t="str">
        <f>_xlfn.XLOOKUP(Base_CRM[[#This Row],[Cód do Cliente]],'[1]F &amp; O'!$A:$A,'[1]F &amp; O'!D:D,"Sem Finder",0,1)</f>
        <v>Sem Finder</v>
      </c>
      <c r="S293" s="11" t="str">
        <f>_xlfn.XLOOKUP(Base_CRM[[#This Row],[Cód do Cliente]],'[1]F &amp; O'!$A:$A,'[1]F &amp; O'!E:E,"Sem Canal",0,1)</f>
        <v>Gestora</v>
      </c>
      <c r="T293" s="11" t="str">
        <f t="shared" si="4"/>
        <v>Cliente XP</v>
      </c>
    </row>
    <row r="294" spans="1:20" x14ac:dyDescent="0.3">
      <c r="A294">
        <v>2537058</v>
      </c>
      <c r="B294" s="8" t="s">
        <v>709</v>
      </c>
      <c r="C294" s="9" t="s">
        <v>39</v>
      </c>
      <c r="D294" s="8">
        <v>56284.83</v>
      </c>
      <c r="E294">
        <v>340000</v>
      </c>
      <c r="F294" t="s">
        <v>22</v>
      </c>
      <c r="G294" t="s">
        <v>45</v>
      </c>
      <c r="H294" s="10">
        <v>32033</v>
      </c>
      <c r="I294" s="10" t="s">
        <v>31</v>
      </c>
      <c r="K294" t="s">
        <v>68</v>
      </c>
      <c r="L294" t="s">
        <v>710</v>
      </c>
      <c r="N294" s="11" t="str">
        <f>Base_CRM[[#This Row],[Cidade]]&amp;"/"&amp;Base_CRM[[#This Row],[Estado]]</f>
        <v>SAO PAULO/</v>
      </c>
      <c r="O294" s="12">
        <f>IFERROR(IF(Base_CRM[[#This Row],[PL Tailor]]&gt;Base_CRM[[#This Row],[PL Declarado]],1,Base_CRM[[#This Row],[PL Tailor]]/Base_CRM[[#This Row],[PL Declarado]]),0)</f>
        <v>0.16554361764705883</v>
      </c>
      <c r="P294" s="11" t="str">
        <f>IF(Base_CRM[[#This Row],[Estado Civil]]="","PESSOA JURÍDICA","PESSOA FÍSICA")</f>
        <v>PESSOA FÍSICA</v>
      </c>
      <c r="Q294" t="str">
        <f>_xlfn.XLOOKUP(Base_CRM[[#This Row],[Cód do Cliente]],'[1]F &amp; O'!$A:$A,'[1]F &amp; O'!$F:$F,_xlfn.XLOOKUP(Base_CRM[[#This Row],[Assessor]],[1]DePara!$A:$A,[1]DePara!$D:$D,"Outros",0,1),0,1)</f>
        <v>Gestora</v>
      </c>
      <c r="R294" s="11" t="str">
        <f>_xlfn.XLOOKUP(Base_CRM[[#This Row],[Cód do Cliente]],'[1]F &amp; O'!$A:$A,'[1]F &amp; O'!D:D,"Sem Finder",0,1)</f>
        <v>Sem Finder</v>
      </c>
      <c r="S294" s="11" t="str">
        <f>_xlfn.XLOOKUP(Base_CRM[[#This Row],[Cód do Cliente]],'[1]F &amp; O'!$A:$A,'[1]F &amp; O'!E:E,"Sem Canal",0,1)</f>
        <v>Gestora</v>
      </c>
      <c r="T294" s="11" t="str">
        <f t="shared" si="4"/>
        <v>Cliente XP</v>
      </c>
    </row>
    <row r="295" spans="1:20" x14ac:dyDescent="0.3">
      <c r="A295">
        <v>2541345</v>
      </c>
      <c r="B295" s="8" t="s">
        <v>469</v>
      </c>
      <c r="C295" s="9" t="s">
        <v>39</v>
      </c>
      <c r="D295" s="8">
        <v>643391.92000000004</v>
      </c>
      <c r="E295">
        <v>1000000</v>
      </c>
      <c r="F295" t="s">
        <v>29</v>
      </c>
      <c r="G295" t="s">
        <v>87</v>
      </c>
      <c r="H295" s="10">
        <v>35228</v>
      </c>
      <c r="I295" s="10" t="s">
        <v>31</v>
      </c>
      <c r="K295" t="s">
        <v>25</v>
      </c>
      <c r="L295" t="s">
        <v>470</v>
      </c>
      <c r="M295" t="s">
        <v>711</v>
      </c>
      <c r="N295" s="11" t="str">
        <f>Base_CRM[[#This Row],[Cidade]]&amp;"/"&amp;Base_CRM[[#This Row],[Estado]]</f>
        <v>SAO PAULO/</v>
      </c>
      <c r="O295" s="12">
        <f>IFERROR(IF(Base_CRM[[#This Row],[PL Tailor]]&gt;Base_CRM[[#This Row],[PL Declarado]],1,Base_CRM[[#This Row],[PL Tailor]]/Base_CRM[[#This Row],[PL Declarado]]),0)</f>
        <v>0.64339192000000001</v>
      </c>
      <c r="P295" s="11" t="str">
        <f>IF(Base_CRM[[#This Row],[Estado Civil]]="","PESSOA JURÍDICA","PESSOA FÍSICA")</f>
        <v>PESSOA FÍSICA</v>
      </c>
      <c r="Q295" t="str">
        <f>_xlfn.XLOOKUP(Base_CRM[[#This Row],[Cód do Cliente]],'[1]F &amp; O'!$A:$A,'[1]F &amp; O'!$F:$F,_xlfn.XLOOKUP(Base_CRM[[#This Row],[Assessor]],[1]DePara!$A:$A,[1]DePara!$D:$D,"Outros",0,1),0,1)</f>
        <v>Gestora</v>
      </c>
      <c r="R295" s="11" t="str">
        <f>_xlfn.XLOOKUP(Base_CRM[[#This Row],[Cód do Cliente]],'[1]F &amp; O'!$A:$A,'[1]F &amp; O'!D:D,"Sem Finder",0,1)</f>
        <v>Sem Finder</v>
      </c>
      <c r="S295" s="11" t="str">
        <f>_xlfn.XLOOKUP(Base_CRM[[#This Row],[Cód do Cliente]],'[1]F &amp; O'!$A:$A,'[1]F &amp; O'!E:E,"Sem Canal",0,1)</f>
        <v>Gestora</v>
      </c>
      <c r="T295" s="11" t="str">
        <f t="shared" si="4"/>
        <v>Cliente XP</v>
      </c>
    </row>
    <row r="296" spans="1:20" x14ac:dyDescent="0.3">
      <c r="A296">
        <v>2546261</v>
      </c>
      <c r="B296" s="8" t="s">
        <v>712</v>
      </c>
      <c r="C296" s="9" t="s">
        <v>34</v>
      </c>
      <c r="D296" s="8">
        <v>750947.8</v>
      </c>
      <c r="E296">
        <v>1000000</v>
      </c>
      <c r="F296" t="s">
        <v>22</v>
      </c>
      <c r="G296" t="s">
        <v>67</v>
      </c>
      <c r="H296" s="10">
        <v>31938</v>
      </c>
      <c r="I296" s="10" t="s">
        <v>454</v>
      </c>
      <c r="K296" t="s">
        <v>42</v>
      </c>
      <c r="L296" t="s">
        <v>713</v>
      </c>
      <c r="M296" t="s">
        <v>711</v>
      </c>
      <c r="N296" s="11" t="str">
        <f>Base_CRM[[#This Row],[Cidade]]&amp;"/"&amp;Base_CRM[[#This Row],[Estado]]</f>
        <v>RECIFE/</v>
      </c>
      <c r="O296" s="12">
        <f>IFERROR(IF(Base_CRM[[#This Row],[PL Tailor]]&gt;Base_CRM[[#This Row],[PL Declarado]],1,Base_CRM[[#This Row],[PL Tailor]]/Base_CRM[[#This Row],[PL Declarado]]),0)</f>
        <v>0.75094780000000005</v>
      </c>
      <c r="P296" s="11" t="str">
        <f>IF(Base_CRM[[#This Row],[Estado Civil]]="","PESSOA JURÍDICA","PESSOA FÍSICA")</f>
        <v>PESSOA FÍSICA</v>
      </c>
      <c r="Q296" t="str">
        <f>_xlfn.XLOOKUP(Base_CRM[[#This Row],[Cód do Cliente]],'[1]F &amp; O'!$A:$A,'[1]F &amp; O'!$F:$F,_xlfn.XLOOKUP(Base_CRM[[#This Row],[Assessor]],[1]DePara!$A:$A,[1]DePara!$D:$D,"Outros",0,1),0,1)</f>
        <v>Adonias Noronha</v>
      </c>
      <c r="R296" s="11" t="str">
        <f>_xlfn.XLOOKUP(Base_CRM[[#This Row],[Cód do Cliente]],'[1]F &amp; O'!$A:$A,'[1]F &amp; O'!D:D,"Sem Finder",0,1)</f>
        <v>Sem Finder</v>
      </c>
      <c r="S296" s="11" t="str">
        <f>_xlfn.XLOOKUP(Base_CRM[[#This Row],[Cód do Cliente]],'[1]F &amp; O'!$A:$A,'[1]F &amp; O'!E:E,"Sem Canal",0,1)</f>
        <v>Sem Canal</v>
      </c>
      <c r="T296" s="11" t="str">
        <f t="shared" si="4"/>
        <v>Cliente XP</v>
      </c>
    </row>
    <row r="297" spans="1:20" x14ac:dyDescent="0.3">
      <c r="A297">
        <v>2568475</v>
      </c>
      <c r="B297" s="8" t="s">
        <v>98</v>
      </c>
      <c r="C297" s="9" t="s">
        <v>39</v>
      </c>
      <c r="D297" s="8">
        <v>157638.64000000001</v>
      </c>
      <c r="E297">
        <v>1000000</v>
      </c>
      <c r="F297" t="s">
        <v>29</v>
      </c>
      <c r="G297" t="s">
        <v>35</v>
      </c>
      <c r="H297" s="10">
        <v>34623</v>
      </c>
      <c r="I297" s="10" t="s">
        <v>31</v>
      </c>
      <c r="K297" t="s">
        <v>25</v>
      </c>
      <c r="L297" t="s">
        <v>99</v>
      </c>
      <c r="N297" s="11" t="str">
        <f>Base_CRM[[#This Row],[Cidade]]&amp;"/"&amp;Base_CRM[[#This Row],[Estado]]</f>
        <v>SAO PAULO/</v>
      </c>
      <c r="O297" s="12">
        <f>IFERROR(IF(Base_CRM[[#This Row],[PL Tailor]]&gt;Base_CRM[[#This Row],[PL Declarado]],1,Base_CRM[[#This Row],[PL Tailor]]/Base_CRM[[#This Row],[PL Declarado]]),0)</f>
        <v>0.15763864000000002</v>
      </c>
      <c r="P297" s="11" t="str">
        <f>IF(Base_CRM[[#This Row],[Estado Civil]]="","PESSOA JURÍDICA","PESSOA FÍSICA")</f>
        <v>PESSOA FÍSICA</v>
      </c>
      <c r="Q297" t="str">
        <f>_xlfn.XLOOKUP(Base_CRM[[#This Row],[Cód do Cliente]],'[1]F &amp; O'!$A:$A,'[1]F &amp; O'!$F:$F,_xlfn.XLOOKUP(Base_CRM[[#This Row],[Assessor]],[1]DePara!$A:$A,[1]DePara!$D:$D,"Outros",0,1),0,1)</f>
        <v>Gestora</v>
      </c>
      <c r="R297" s="11" t="str">
        <f>_xlfn.XLOOKUP(Base_CRM[[#This Row],[Cód do Cliente]],'[1]F &amp; O'!$A:$A,'[1]F &amp; O'!D:D,"Sem Finder",0,1)</f>
        <v>Sem Finder</v>
      </c>
      <c r="S297" s="11" t="str">
        <f>_xlfn.XLOOKUP(Base_CRM[[#This Row],[Cód do Cliente]],'[1]F &amp; O'!$A:$A,'[1]F &amp; O'!E:E,"Sem Canal",0,1)</f>
        <v>Gestora</v>
      </c>
      <c r="T297" s="11" t="str">
        <f t="shared" si="4"/>
        <v>Cliente XP</v>
      </c>
    </row>
    <row r="298" spans="1:20" x14ac:dyDescent="0.3">
      <c r="A298">
        <v>2590011</v>
      </c>
      <c r="B298" s="8" t="s">
        <v>714</v>
      </c>
      <c r="C298" s="9" t="s">
        <v>103</v>
      </c>
      <c r="D298" s="8">
        <v>97422.12</v>
      </c>
      <c r="E298">
        <v>100000</v>
      </c>
      <c r="F298" t="s">
        <v>29</v>
      </c>
      <c r="G298" t="s">
        <v>715</v>
      </c>
      <c r="H298" s="10">
        <v>33632</v>
      </c>
      <c r="I298" s="10" t="s">
        <v>24</v>
      </c>
      <c r="K298" t="s">
        <v>42</v>
      </c>
      <c r="L298" t="s">
        <v>716</v>
      </c>
      <c r="N298" s="11" t="str">
        <f>Base_CRM[[#This Row],[Cidade]]&amp;"/"&amp;Base_CRM[[#This Row],[Estado]]</f>
        <v>RIO DE JANEIRO/</v>
      </c>
      <c r="O298" s="12">
        <f>IFERROR(IF(Base_CRM[[#This Row],[PL Tailor]]&gt;Base_CRM[[#This Row],[PL Declarado]],1,Base_CRM[[#This Row],[PL Tailor]]/Base_CRM[[#This Row],[PL Declarado]]),0)</f>
        <v>0.9742211999999999</v>
      </c>
      <c r="P298" s="11" t="str">
        <f>IF(Base_CRM[[#This Row],[Estado Civil]]="","PESSOA JURÍDICA","PESSOA FÍSICA")</f>
        <v>PESSOA FÍSICA</v>
      </c>
      <c r="Q298" t="str">
        <f>_xlfn.XLOOKUP(Base_CRM[[#This Row],[Cód do Cliente]],'[1]F &amp; O'!$A:$A,'[1]F &amp; O'!$F:$F,_xlfn.XLOOKUP(Base_CRM[[#This Row],[Assessor]],[1]DePara!$A:$A,[1]DePara!$D:$D,"Outros",0,1),0,1)</f>
        <v>Raphael Pereira</v>
      </c>
      <c r="R298" s="11" t="str">
        <f>_xlfn.XLOOKUP(Base_CRM[[#This Row],[Cód do Cliente]],'[1]F &amp; O'!$A:$A,'[1]F &amp; O'!D:D,"Sem Finder",0,1)</f>
        <v>Sem Finder</v>
      </c>
      <c r="S298" s="11" t="str">
        <f>_xlfn.XLOOKUP(Base_CRM[[#This Row],[Cód do Cliente]],'[1]F &amp; O'!$A:$A,'[1]F &amp; O'!E:E,"Sem Canal",0,1)</f>
        <v>Sem Canal</v>
      </c>
      <c r="T298" s="11" t="str">
        <f t="shared" si="4"/>
        <v>Cliente XP</v>
      </c>
    </row>
    <row r="299" spans="1:20" x14ac:dyDescent="0.3">
      <c r="A299">
        <v>2591176</v>
      </c>
      <c r="B299" s="8" t="s">
        <v>717</v>
      </c>
      <c r="C299" s="9" t="s">
        <v>34</v>
      </c>
      <c r="D299" s="8">
        <v>535070.78</v>
      </c>
      <c r="E299">
        <v>1200000</v>
      </c>
      <c r="F299" t="s">
        <v>22</v>
      </c>
      <c r="G299" t="s">
        <v>23</v>
      </c>
      <c r="H299" s="10">
        <v>34579</v>
      </c>
      <c r="I299" s="10" t="s">
        <v>349</v>
      </c>
      <c r="K299" t="s">
        <v>25</v>
      </c>
      <c r="L299" t="s">
        <v>718</v>
      </c>
      <c r="M299" t="s">
        <v>395</v>
      </c>
      <c r="N299" s="11" t="str">
        <f>Base_CRM[[#This Row],[Cidade]]&amp;"/"&amp;Base_CRM[[#This Row],[Estado]]</f>
        <v>São Paulo/</v>
      </c>
      <c r="O299" s="12">
        <f>IFERROR(IF(Base_CRM[[#This Row],[PL Tailor]]&gt;Base_CRM[[#This Row],[PL Declarado]],1,Base_CRM[[#This Row],[PL Tailor]]/Base_CRM[[#This Row],[PL Declarado]]),0)</f>
        <v>0.44589231666666668</v>
      </c>
      <c r="P299" s="11" t="str">
        <f>IF(Base_CRM[[#This Row],[Estado Civil]]="","PESSOA JURÍDICA","PESSOA FÍSICA")</f>
        <v>PESSOA FÍSICA</v>
      </c>
      <c r="Q299" t="str">
        <f>_xlfn.XLOOKUP(Base_CRM[[#This Row],[Cód do Cliente]],'[1]F &amp; O'!$A:$A,'[1]F &amp; O'!$F:$F,_xlfn.XLOOKUP(Base_CRM[[#This Row],[Assessor]],[1]DePara!$A:$A,[1]DePara!$D:$D,"Outros",0,1),0,1)</f>
        <v>Adonias Noronha</v>
      </c>
      <c r="R299" s="11" t="str">
        <f>_xlfn.XLOOKUP(Base_CRM[[#This Row],[Cód do Cliente]],'[1]F &amp; O'!$A:$A,'[1]F &amp; O'!D:D,"Sem Finder",0,1)</f>
        <v>Sem Finder</v>
      </c>
      <c r="S299" s="11" t="str">
        <f>_xlfn.XLOOKUP(Base_CRM[[#This Row],[Cód do Cliente]],'[1]F &amp; O'!$A:$A,'[1]F &amp; O'!E:E,"Sem Canal",0,1)</f>
        <v>Sem Canal</v>
      </c>
      <c r="T299" s="11" t="str">
        <f t="shared" si="4"/>
        <v>Cliente XP</v>
      </c>
    </row>
    <row r="300" spans="1:20" x14ac:dyDescent="0.3">
      <c r="A300">
        <v>259650</v>
      </c>
      <c r="B300" s="8" t="s">
        <v>719</v>
      </c>
      <c r="C300" s="9" t="s">
        <v>39</v>
      </c>
      <c r="D300" s="8">
        <v>325338.7</v>
      </c>
      <c r="E300">
        <v>200000</v>
      </c>
      <c r="F300" t="s">
        <v>29</v>
      </c>
      <c r="G300" t="s">
        <v>87</v>
      </c>
      <c r="H300" s="10">
        <v>32494</v>
      </c>
      <c r="I300" s="10" t="s">
        <v>115</v>
      </c>
      <c r="K300" t="s">
        <v>250</v>
      </c>
      <c r="L300" t="s">
        <v>720</v>
      </c>
      <c r="N300" s="11" t="str">
        <f>Base_CRM[[#This Row],[Cidade]]&amp;"/"&amp;Base_CRM[[#This Row],[Estado]]</f>
        <v>BARUERI/</v>
      </c>
      <c r="O300" s="12">
        <f>IFERROR(IF(Base_CRM[[#This Row],[PL Tailor]]&gt;Base_CRM[[#This Row],[PL Declarado]],1,Base_CRM[[#This Row],[PL Tailor]]/Base_CRM[[#This Row],[PL Declarado]]),0)</f>
        <v>1</v>
      </c>
      <c r="P300" s="11" t="str">
        <f>IF(Base_CRM[[#This Row],[Estado Civil]]="","PESSOA JURÍDICA","PESSOA FÍSICA")</f>
        <v>PESSOA FÍSICA</v>
      </c>
      <c r="Q300" t="str">
        <f>_xlfn.XLOOKUP(Base_CRM[[#This Row],[Cód do Cliente]],'[1]F &amp; O'!$A:$A,'[1]F &amp; O'!$F:$F,_xlfn.XLOOKUP(Base_CRM[[#This Row],[Assessor]],[1]DePara!$A:$A,[1]DePara!$D:$D,"Outros",0,1),0,1)</f>
        <v>Gestora</v>
      </c>
      <c r="R300" s="11" t="str">
        <f>_xlfn.XLOOKUP(Base_CRM[[#This Row],[Cód do Cliente]],'[1]F &amp; O'!$A:$A,'[1]F &amp; O'!D:D,"Sem Finder",0,1)</f>
        <v>Sem Finder</v>
      </c>
      <c r="S300" s="11" t="str">
        <f>_xlfn.XLOOKUP(Base_CRM[[#This Row],[Cód do Cliente]],'[1]F &amp; O'!$A:$A,'[1]F &amp; O'!E:E,"Sem Canal",0,1)</f>
        <v>Gestora</v>
      </c>
      <c r="T300" s="11" t="str">
        <f t="shared" si="4"/>
        <v>Cliente XP</v>
      </c>
    </row>
    <row r="301" spans="1:20" x14ac:dyDescent="0.3">
      <c r="A301">
        <v>2601590</v>
      </c>
      <c r="B301" s="8" t="s">
        <v>721</v>
      </c>
      <c r="C301" s="9" t="s">
        <v>39</v>
      </c>
      <c r="D301" s="8">
        <v>234347.51999999999</v>
      </c>
      <c r="E301">
        <v>1000000</v>
      </c>
      <c r="F301" t="s">
        <v>22</v>
      </c>
      <c r="G301" t="s">
        <v>686</v>
      </c>
      <c r="H301" s="10">
        <v>33441</v>
      </c>
      <c r="I301" s="10" t="s">
        <v>31</v>
      </c>
      <c r="K301" t="s">
        <v>25</v>
      </c>
      <c r="L301" t="s">
        <v>722</v>
      </c>
      <c r="N301" s="11" t="str">
        <f>Base_CRM[[#This Row],[Cidade]]&amp;"/"&amp;Base_CRM[[#This Row],[Estado]]</f>
        <v>SAO PAULO/</v>
      </c>
      <c r="O301" s="12">
        <f>IFERROR(IF(Base_CRM[[#This Row],[PL Tailor]]&gt;Base_CRM[[#This Row],[PL Declarado]],1,Base_CRM[[#This Row],[PL Tailor]]/Base_CRM[[#This Row],[PL Declarado]]),0)</f>
        <v>0.23434751999999998</v>
      </c>
      <c r="P301" s="11" t="str">
        <f>IF(Base_CRM[[#This Row],[Estado Civil]]="","PESSOA JURÍDICA","PESSOA FÍSICA")</f>
        <v>PESSOA FÍSICA</v>
      </c>
      <c r="Q301" t="str">
        <f>_xlfn.XLOOKUP(Base_CRM[[#This Row],[Cód do Cliente]],'[1]F &amp; O'!$A:$A,'[1]F &amp; O'!$F:$F,_xlfn.XLOOKUP(Base_CRM[[#This Row],[Assessor]],[1]DePara!$A:$A,[1]DePara!$D:$D,"Outros",0,1),0,1)</f>
        <v>Gestora</v>
      </c>
      <c r="R301" s="11" t="str">
        <f>_xlfn.XLOOKUP(Base_CRM[[#This Row],[Cód do Cliente]],'[1]F &amp; O'!$A:$A,'[1]F &amp; O'!D:D,"Sem Finder",0,1)</f>
        <v>Pedro Chagas</v>
      </c>
      <c r="S301" s="11" t="str">
        <f>_xlfn.XLOOKUP(Base_CRM[[#This Row],[Cód do Cliente]],'[1]F &amp; O'!$A:$A,'[1]F &amp; O'!E:E,"Sem Canal",0,1)</f>
        <v>Gestora</v>
      </c>
      <c r="T301" s="11" t="str">
        <f t="shared" si="4"/>
        <v>Cliente XP</v>
      </c>
    </row>
    <row r="302" spans="1:20" x14ac:dyDescent="0.3">
      <c r="A302">
        <v>260894</v>
      </c>
      <c r="B302" s="8" t="s">
        <v>723</v>
      </c>
      <c r="C302" s="9" t="s">
        <v>34</v>
      </c>
      <c r="D302" s="8">
        <v>1078716.2</v>
      </c>
      <c r="E302">
        <v>1000000</v>
      </c>
      <c r="F302" t="s">
        <v>22</v>
      </c>
      <c r="G302" t="s">
        <v>35</v>
      </c>
      <c r="H302" s="10">
        <v>30867</v>
      </c>
      <c r="I302" s="10" t="s">
        <v>31</v>
      </c>
      <c r="K302" t="s">
        <v>42</v>
      </c>
      <c r="L302" t="s">
        <v>724</v>
      </c>
      <c r="N302" s="11" t="str">
        <f>Base_CRM[[#This Row],[Cidade]]&amp;"/"&amp;Base_CRM[[#This Row],[Estado]]</f>
        <v>SAO PAULO/</v>
      </c>
      <c r="O302" s="12">
        <f>IFERROR(IF(Base_CRM[[#This Row],[PL Tailor]]&gt;Base_CRM[[#This Row],[PL Declarado]],1,Base_CRM[[#This Row],[PL Tailor]]/Base_CRM[[#This Row],[PL Declarado]]),0)</f>
        <v>1</v>
      </c>
      <c r="P302" s="11" t="str">
        <f>IF(Base_CRM[[#This Row],[Estado Civil]]="","PESSOA JURÍDICA","PESSOA FÍSICA")</f>
        <v>PESSOA FÍSICA</v>
      </c>
      <c r="Q302" t="str">
        <f>_xlfn.XLOOKUP(Base_CRM[[#This Row],[Cód do Cliente]],'[1]F &amp; O'!$A:$A,'[1]F &amp; O'!$F:$F,_xlfn.XLOOKUP(Base_CRM[[#This Row],[Assessor]],[1]DePara!$A:$A,[1]DePara!$D:$D,"Outros",0,1),0,1)</f>
        <v>Adonias Noronha</v>
      </c>
      <c r="R302" s="11" t="str">
        <f>_xlfn.XLOOKUP(Base_CRM[[#This Row],[Cód do Cliente]],'[1]F &amp; O'!$A:$A,'[1]F &amp; O'!D:D,"Sem Finder",0,1)</f>
        <v>Sem Finder</v>
      </c>
      <c r="S302" s="11" t="str">
        <f>_xlfn.XLOOKUP(Base_CRM[[#This Row],[Cód do Cliente]],'[1]F &amp; O'!$A:$A,'[1]F &amp; O'!E:E,"Sem Canal",0,1)</f>
        <v>Camila Corrêa</v>
      </c>
      <c r="T302" s="11" t="str">
        <f t="shared" si="4"/>
        <v>Cliente XP</v>
      </c>
    </row>
    <row r="303" spans="1:20" x14ac:dyDescent="0.3">
      <c r="A303">
        <v>2627868</v>
      </c>
      <c r="B303" s="8" t="s">
        <v>725</v>
      </c>
      <c r="C303" s="9" t="s">
        <v>34</v>
      </c>
      <c r="D303" s="8">
        <v>441672.15</v>
      </c>
      <c r="E303">
        <v>30000</v>
      </c>
      <c r="F303" t="s">
        <v>29</v>
      </c>
      <c r="G303" t="s">
        <v>35</v>
      </c>
      <c r="H303" s="10">
        <v>27987</v>
      </c>
      <c r="I303" s="10" t="s">
        <v>24</v>
      </c>
      <c r="K303" t="s">
        <v>25</v>
      </c>
      <c r="L303" t="s">
        <v>726</v>
      </c>
      <c r="M303" t="s">
        <v>29</v>
      </c>
      <c r="N303" s="11" t="str">
        <f>Base_CRM[[#This Row],[Cidade]]&amp;"/"&amp;Base_CRM[[#This Row],[Estado]]</f>
        <v>RIO DE JANEIRO/</v>
      </c>
      <c r="O303" s="12">
        <f>IFERROR(IF(Base_CRM[[#This Row],[PL Tailor]]&gt;Base_CRM[[#This Row],[PL Declarado]],1,Base_CRM[[#This Row],[PL Tailor]]/Base_CRM[[#This Row],[PL Declarado]]),0)</f>
        <v>1</v>
      </c>
      <c r="P303" s="11" t="str">
        <f>IF(Base_CRM[[#This Row],[Estado Civil]]="","PESSOA JURÍDICA","PESSOA FÍSICA")</f>
        <v>PESSOA FÍSICA</v>
      </c>
      <c r="Q303" t="str">
        <f>_xlfn.XLOOKUP(Base_CRM[[#This Row],[Cód do Cliente]],'[1]F &amp; O'!$A:$A,'[1]F &amp; O'!$F:$F,_xlfn.XLOOKUP(Base_CRM[[#This Row],[Assessor]],[1]DePara!$A:$A,[1]DePara!$D:$D,"Outros",0,1),0,1)</f>
        <v>Adonias Noronha</v>
      </c>
      <c r="R303" s="11" t="str">
        <f>_xlfn.XLOOKUP(Base_CRM[[#This Row],[Cód do Cliente]],'[1]F &amp; O'!$A:$A,'[1]F &amp; O'!D:D,"Sem Finder",0,1)</f>
        <v>Sem Finder</v>
      </c>
      <c r="S303" s="11" t="str">
        <f>_xlfn.XLOOKUP(Base_CRM[[#This Row],[Cód do Cliente]],'[1]F &amp; O'!$A:$A,'[1]F &amp; O'!E:E,"Sem Canal",0,1)</f>
        <v>Sem Canal</v>
      </c>
      <c r="T303" s="11" t="str">
        <f t="shared" si="4"/>
        <v>Cliente XP</v>
      </c>
    </row>
    <row r="304" spans="1:20" x14ac:dyDescent="0.3">
      <c r="A304">
        <v>2632234</v>
      </c>
      <c r="B304" s="8" t="s">
        <v>727</v>
      </c>
      <c r="C304" s="9" t="s">
        <v>74</v>
      </c>
      <c r="D304" s="8">
        <v>116311.18</v>
      </c>
      <c r="E304">
        <v>130000</v>
      </c>
      <c r="F304" t="s">
        <v>22</v>
      </c>
      <c r="G304" t="s">
        <v>67</v>
      </c>
      <c r="H304" s="10">
        <v>34360</v>
      </c>
      <c r="I304" s="10" t="s">
        <v>728</v>
      </c>
      <c r="K304" t="s">
        <v>104</v>
      </c>
      <c r="L304" t="s">
        <v>729</v>
      </c>
      <c r="N304" s="11" t="str">
        <f>Base_CRM[[#This Row],[Cidade]]&amp;"/"&amp;Base_CRM[[#This Row],[Estado]]</f>
        <v>PALMEIRA DAS MISSOES/</v>
      </c>
      <c r="O304" s="12">
        <f>IFERROR(IF(Base_CRM[[#This Row],[PL Tailor]]&gt;Base_CRM[[#This Row],[PL Declarado]],1,Base_CRM[[#This Row],[PL Tailor]]/Base_CRM[[#This Row],[PL Declarado]]),0)</f>
        <v>0.89470138461538451</v>
      </c>
      <c r="P304" s="11" t="str">
        <f>IF(Base_CRM[[#This Row],[Estado Civil]]="","PESSOA JURÍDICA","PESSOA FÍSICA")</f>
        <v>PESSOA FÍSICA</v>
      </c>
      <c r="Q304" t="str">
        <f>_xlfn.XLOOKUP(Base_CRM[[#This Row],[Cód do Cliente]],'[1]F &amp; O'!$A:$A,'[1]F &amp; O'!$F:$F,_xlfn.XLOOKUP(Base_CRM[[#This Row],[Assessor]],[1]DePara!$A:$A,[1]DePara!$D:$D,"Outros",0,1),0,1)</f>
        <v>Thayane Freitas</v>
      </c>
      <c r="R304" s="11" t="str">
        <f>_xlfn.XLOOKUP(Base_CRM[[#This Row],[Cód do Cliente]],'[1]F &amp; O'!$A:$A,'[1]F &amp; O'!D:D,"Sem Finder",0,1)</f>
        <v>Sem Finder</v>
      </c>
      <c r="S304" s="11" t="str">
        <f>_xlfn.XLOOKUP(Base_CRM[[#This Row],[Cód do Cliente]],'[1]F &amp; O'!$A:$A,'[1]F &amp; O'!E:E,"Sem Canal",0,1)</f>
        <v>Sem Canal</v>
      </c>
      <c r="T304" s="11" t="str">
        <f t="shared" si="4"/>
        <v>Cliente XP</v>
      </c>
    </row>
    <row r="305" spans="1:20" x14ac:dyDescent="0.3">
      <c r="A305">
        <v>2646178</v>
      </c>
      <c r="B305" s="8" t="s">
        <v>730</v>
      </c>
      <c r="C305" s="9" t="s">
        <v>21</v>
      </c>
      <c r="D305" s="8">
        <v>7720111.54</v>
      </c>
      <c r="E305">
        <v>1000000</v>
      </c>
      <c r="F305" t="s">
        <v>29</v>
      </c>
      <c r="G305" t="s">
        <v>35</v>
      </c>
      <c r="H305" s="10">
        <v>32108</v>
      </c>
      <c r="I305" s="10" t="s">
        <v>24</v>
      </c>
      <c r="K305" t="s">
        <v>42</v>
      </c>
      <c r="L305" t="s">
        <v>731</v>
      </c>
      <c r="M305" t="s">
        <v>64</v>
      </c>
      <c r="N305" s="11" t="str">
        <f>Base_CRM[[#This Row],[Cidade]]&amp;"/"&amp;Base_CRM[[#This Row],[Estado]]</f>
        <v>RIO DE JANEIRO/</v>
      </c>
      <c r="O305" s="12">
        <f>IFERROR(IF(Base_CRM[[#This Row],[PL Tailor]]&gt;Base_CRM[[#This Row],[PL Declarado]],1,Base_CRM[[#This Row],[PL Tailor]]/Base_CRM[[#This Row],[PL Declarado]]),0)</f>
        <v>1</v>
      </c>
      <c r="P305" s="11" t="str">
        <f>IF(Base_CRM[[#This Row],[Estado Civil]]="","PESSOA JURÍDICA","PESSOA FÍSICA")</f>
        <v>PESSOA FÍSICA</v>
      </c>
      <c r="Q305" t="str">
        <f>_xlfn.XLOOKUP(Base_CRM[[#This Row],[Cód do Cliente]],'[1]F &amp; O'!$A:$A,'[1]F &amp; O'!$F:$F,_xlfn.XLOOKUP(Base_CRM[[#This Row],[Assessor]],[1]DePara!$A:$A,[1]DePara!$D:$D,"Outros",0,1),0,1)</f>
        <v>Leonardo Burle</v>
      </c>
      <c r="R305" s="11" t="str">
        <f>_xlfn.XLOOKUP(Base_CRM[[#This Row],[Cód do Cliente]],'[1]F &amp; O'!$A:$A,'[1]F &amp; O'!D:D,"Sem Finder",0,1)</f>
        <v>Sem Finder</v>
      </c>
      <c r="S305" s="11" t="str">
        <f>_xlfn.XLOOKUP(Base_CRM[[#This Row],[Cód do Cliente]],'[1]F &amp; O'!$A:$A,'[1]F &amp; O'!E:E,"Sem Canal",0,1)</f>
        <v>Sem Canal</v>
      </c>
      <c r="T305" s="11" t="str">
        <f t="shared" si="4"/>
        <v>Cliente XP</v>
      </c>
    </row>
    <row r="306" spans="1:20" x14ac:dyDescent="0.3">
      <c r="A306">
        <v>2709968</v>
      </c>
      <c r="B306" s="8" t="s">
        <v>732</v>
      </c>
      <c r="C306" s="9" t="s">
        <v>34</v>
      </c>
      <c r="D306" s="8">
        <v>642045.99</v>
      </c>
      <c r="E306">
        <v>1800000</v>
      </c>
      <c r="F306" t="s">
        <v>22</v>
      </c>
      <c r="G306" t="s">
        <v>87</v>
      </c>
      <c r="H306" s="10">
        <v>30978</v>
      </c>
      <c r="I306" s="10" t="s">
        <v>402</v>
      </c>
      <c r="K306" t="s">
        <v>42</v>
      </c>
      <c r="L306" t="s">
        <v>733</v>
      </c>
      <c r="M306" t="s">
        <v>60</v>
      </c>
      <c r="N306" s="11" t="str">
        <f>Base_CRM[[#This Row],[Cidade]]&amp;"/"&amp;Base_CRM[[#This Row],[Estado]]</f>
        <v>Florianópolis/</v>
      </c>
      <c r="O306" s="12">
        <f>IFERROR(IF(Base_CRM[[#This Row],[PL Tailor]]&gt;Base_CRM[[#This Row],[PL Declarado]],1,Base_CRM[[#This Row],[PL Tailor]]/Base_CRM[[#This Row],[PL Declarado]]),0)</f>
        <v>0.35669221666666667</v>
      </c>
      <c r="P306" s="11" t="str">
        <f>IF(Base_CRM[[#This Row],[Estado Civil]]="","PESSOA JURÍDICA","PESSOA FÍSICA")</f>
        <v>PESSOA FÍSICA</v>
      </c>
      <c r="Q306" t="str">
        <f>_xlfn.XLOOKUP(Base_CRM[[#This Row],[Cód do Cliente]],'[1]F &amp; O'!$A:$A,'[1]F &amp; O'!$F:$F,_xlfn.XLOOKUP(Base_CRM[[#This Row],[Assessor]],[1]DePara!$A:$A,[1]DePara!$D:$D,"Outros",0,1),0,1)</f>
        <v>Adonias Noronha</v>
      </c>
      <c r="R306" s="11" t="str">
        <f>_xlfn.XLOOKUP(Base_CRM[[#This Row],[Cód do Cliente]],'[1]F &amp; O'!$A:$A,'[1]F &amp; O'!D:D,"Sem Finder",0,1)</f>
        <v>Sem Finder</v>
      </c>
      <c r="S306" s="11" t="str">
        <f>_xlfn.XLOOKUP(Base_CRM[[#This Row],[Cód do Cliente]],'[1]F &amp; O'!$A:$A,'[1]F &amp; O'!E:E,"Sem Canal",0,1)</f>
        <v>Sem Canal</v>
      </c>
      <c r="T306" s="11" t="str">
        <f t="shared" si="4"/>
        <v>Cliente XP</v>
      </c>
    </row>
    <row r="307" spans="1:20" x14ac:dyDescent="0.3">
      <c r="A307">
        <v>2721626</v>
      </c>
      <c r="B307" s="8" t="s">
        <v>734</v>
      </c>
      <c r="C307" s="9" t="s">
        <v>103</v>
      </c>
      <c r="D307" s="8">
        <v>5084899.71</v>
      </c>
      <c r="E307">
        <v>1000000</v>
      </c>
      <c r="F307" t="s">
        <v>22</v>
      </c>
      <c r="G307" t="s">
        <v>67</v>
      </c>
      <c r="H307" s="10">
        <v>30887</v>
      </c>
      <c r="I307" s="10" t="s">
        <v>735</v>
      </c>
      <c r="K307" t="s">
        <v>25</v>
      </c>
      <c r="L307" t="s">
        <v>736</v>
      </c>
      <c r="M307" t="s">
        <v>64</v>
      </c>
      <c r="N307" s="11" t="str">
        <f>Base_CRM[[#This Row],[Cidade]]&amp;"/"&amp;Base_CRM[[#This Row],[Estado]]</f>
        <v>Goiânia/</v>
      </c>
      <c r="O307" s="12">
        <f>IFERROR(IF(Base_CRM[[#This Row],[PL Tailor]]&gt;Base_CRM[[#This Row],[PL Declarado]],1,Base_CRM[[#This Row],[PL Tailor]]/Base_CRM[[#This Row],[PL Declarado]]),0)</f>
        <v>1</v>
      </c>
      <c r="P307" s="11" t="str">
        <f>IF(Base_CRM[[#This Row],[Estado Civil]]="","PESSOA JURÍDICA","PESSOA FÍSICA")</f>
        <v>PESSOA FÍSICA</v>
      </c>
      <c r="Q307" t="str">
        <f>_xlfn.XLOOKUP(Base_CRM[[#This Row],[Cód do Cliente]],'[1]F &amp; O'!$A:$A,'[1]F &amp; O'!$F:$F,_xlfn.XLOOKUP(Base_CRM[[#This Row],[Assessor]],[1]DePara!$A:$A,[1]DePara!$D:$D,"Outros",0,1),0,1)</f>
        <v>Raphael Pereira</v>
      </c>
      <c r="R307" s="11" t="str">
        <f>_xlfn.XLOOKUP(Base_CRM[[#This Row],[Cód do Cliente]],'[1]F &amp; O'!$A:$A,'[1]F &amp; O'!D:D,"Sem Finder",0,1)</f>
        <v>Sem Finder</v>
      </c>
      <c r="S307" s="11" t="str">
        <f>_xlfn.XLOOKUP(Base_CRM[[#This Row],[Cód do Cliente]],'[1]F &amp; O'!$A:$A,'[1]F &amp; O'!E:E,"Sem Canal",0,1)</f>
        <v>Amure</v>
      </c>
      <c r="T307" s="11" t="str">
        <f t="shared" si="4"/>
        <v>Cliente XP</v>
      </c>
    </row>
    <row r="308" spans="1:20" x14ac:dyDescent="0.3">
      <c r="A308">
        <v>273024</v>
      </c>
      <c r="B308" s="8" t="s">
        <v>737</v>
      </c>
      <c r="C308" s="9" t="s">
        <v>74</v>
      </c>
      <c r="D308" s="8">
        <v>0</v>
      </c>
      <c r="E308">
        <v>45000</v>
      </c>
      <c r="F308" t="s">
        <v>40</v>
      </c>
      <c r="G308" t="s">
        <v>262</v>
      </c>
      <c r="H308" s="10">
        <v>31361</v>
      </c>
      <c r="I308" s="10" t="s">
        <v>31</v>
      </c>
      <c r="K308" t="s">
        <v>42</v>
      </c>
      <c r="L308" t="s">
        <v>738</v>
      </c>
      <c r="N308" s="11" t="str">
        <f>Base_CRM[[#This Row],[Cidade]]&amp;"/"&amp;Base_CRM[[#This Row],[Estado]]</f>
        <v>SAO PAULO/</v>
      </c>
      <c r="O308" s="12">
        <f>IFERROR(IF(Base_CRM[[#This Row],[PL Tailor]]&gt;Base_CRM[[#This Row],[PL Declarado]],1,Base_CRM[[#This Row],[PL Tailor]]/Base_CRM[[#This Row],[PL Declarado]]),0)</f>
        <v>0</v>
      </c>
      <c r="P308" s="11" t="str">
        <f>IF(Base_CRM[[#This Row],[Estado Civil]]="","PESSOA JURÍDICA","PESSOA FÍSICA")</f>
        <v>PESSOA FÍSICA</v>
      </c>
      <c r="Q308" t="str">
        <f>_xlfn.XLOOKUP(Base_CRM[[#This Row],[Cód do Cliente]],'[1]F &amp; O'!$A:$A,'[1]F &amp; O'!$F:$F,_xlfn.XLOOKUP(Base_CRM[[#This Row],[Assessor]],[1]DePara!$A:$A,[1]DePara!$D:$D,"Outros",0,1),0,1)</f>
        <v>Thayane Freitas</v>
      </c>
      <c r="R308" s="11" t="str">
        <f>_xlfn.XLOOKUP(Base_CRM[[#This Row],[Cód do Cliente]],'[1]F &amp; O'!$A:$A,'[1]F &amp; O'!D:D,"Sem Finder",0,1)</f>
        <v>Sem Finder</v>
      </c>
      <c r="S308" s="11" t="str">
        <f>_xlfn.XLOOKUP(Base_CRM[[#This Row],[Cód do Cliente]],'[1]F &amp; O'!$A:$A,'[1]F &amp; O'!E:E,"Sem Canal",0,1)</f>
        <v>Sem Canal</v>
      </c>
      <c r="T308" s="11" t="str">
        <f t="shared" si="4"/>
        <v>Cliente XP</v>
      </c>
    </row>
    <row r="309" spans="1:20" x14ac:dyDescent="0.3">
      <c r="A309">
        <v>2731984</v>
      </c>
      <c r="B309" s="8" t="s">
        <v>739</v>
      </c>
      <c r="C309" s="9" t="s">
        <v>74</v>
      </c>
      <c r="D309" s="8">
        <v>145.16</v>
      </c>
      <c r="E309">
        <v>1000050</v>
      </c>
      <c r="F309" t="s">
        <v>22</v>
      </c>
      <c r="G309" t="s">
        <v>35</v>
      </c>
      <c r="H309" s="10">
        <v>33555</v>
      </c>
      <c r="I309" s="10" t="s">
        <v>41</v>
      </c>
      <c r="K309" t="s">
        <v>25</v>
      </c>
      <c r="L309" t="s">
        <v>740</v>
      </c>
      <c r="N309" s="11" t="str">
        <f>Base_CRM[[#This Row],[Cidade]]&amp;"/"&amp;Base_CRM[[#This Row],[Estado]]</f>
        <v>OSASCO/</v>
      </c>
      <c r="O309" s="12">
        <f>IFERROR(IF(Base_CRM[[#This Row],[PL Tailor]]&gt;Base_CRM[[#This Row],[PL Declarado]],1,Base_CRM[[#This Row],[PL Tailor]]/Base_CRM[[#This Row],[PL Declarado]]),0)</f>
        <v>1.4515274236288184E-4</v>
      </c>
      <c r="P309" s="11" t="str">
        <f>IF(Base_CRM[[#This Row],[Estado Civil]]="","PESSOA JURÍDICA","PESSOA FÍSICA")</f>
        <v>PESSOA FÍSICA</v>
      </c>
      <c r="Q309" t="str">
        <f>_xlfn.XLOOKUP(Base_CRM[[#This Row],[Cód do Cliente]],'[1]F &amp; O'!$A:$A,'[1]F &amp; O'!$F:$F,_xlfn.XLOOKUP(Base_CRM[[#This Row],[Assessor]],[1]DePara!$A:$A,[1]DePara!$D:$D,"Outros",0,1),0,1)</f>
        <v>Thayane Freitas</v>
      </c>
      <c r="R309" s="11" t="str">
        <f>_xlfn.XLOOKUP(Base_CRM[[#This Row],[Cód do Cliente]],'[1]F &amp; O'!$A:$A,'[1]F &amp; O'!D:D,"Sem Finder",0,1)</f>
        <v>Sem Finder</v>
      </c>
      <c r="S309" s="11" t="str">
        <f>_xlfn.XLOOKUP(Base_CRM[[#This Row],[Cód do Cliente]],'[1]F &amp; O'!$A:$A,'[1]F &amp; O'!E:E,"Sem Canal",0,1)</f>
        <v>Sem Canal</v>
      </c>
      <c r="T309" s="11" t="str">
        <f t="shared" si="4"/>
        <v>Cliente XP</v>
      </c>
    </row>
    <row r="310" spans="1:20" x14ac:dyDescent="0.3">
      <c r="A310">
        <v>2756880</v>
      </c>
      <c r="B310" s="8" t="s">
        <v>741</v>
      </c>
      <c r="C310" s="9" t="s">
        <v>21</v>
      </c>
      <c r="D310" s="8">
        <v>1640501.97</v>
      </c>
      <c r="E310">
        <v>3500000</v>
      </c>
      <c r="F310" t="s">
        <v>22</v>
      </c>
      <c r="G310" t="s">
        <v>35</v>
      </c>
      <c r="H310" s="10">
        <v>29036</v>
      </c>
      <c r="I310" s="10" t="s">
        <v>24</v>
      </c>
      <c r="K310" t="s">
        <v>68</v>
      </c>
      <c r="L310" t="s">
        <v>742</v>
      </c>
      <c r="M310" t="s">
        <v>64</v>
      </c>
      <c r="N310" s="11" t="str">
        <f>Base_CRM[[#This Row],[Cidade]]&amp;"/"&amp;Base_CRM[[#This Row],[Estado]]</f>
        <v>RIO DE JANEIRO/</v>
      </c>
      <c r="O310" s="12">
        <f>IFERROR(IF(Base_CRM[[#This Row],[PL Tailor]]&gt;Base_CRM[[#This Row],[PL Declarado]],1,Base_CRM[[#This Row],[PL Tailor]]/Base_CRM[[#This Row],[PL Declarado]]),0)</f>
        <v>0.46871484857142859</v>
      </c>
      <c r="P310" s="11" t="str">
        <f>IF(Base_CRM[[#This Row],[Estado Civil]]="","PESSOA JURÍDICA","PESSOA FÍSICA")</f>
        <v>PESSOA FÍSICA</v>
      </c>
      <c r="Q310" t="str">
        <f>_xlfn.XLOOKUP(Base_CRM[[#This Row],[Cód do Cliente]],'[1]F &amp; O'!$A:$A,'[1]F &amp; O'!$F:$F,_xlfn.XLOOKUP(Base_CRM[[#This Row],[Assessor]],[1]DePara!$A:$A,[1]DePara!$D:$D,"Outros",0,1),0,1)</f>
        <v>Leonardo Burle</v>
      </c>
      <c r="R310" s="11" t="str">
        <f>_xlfn.XLOOKUP(Base_CRM[[#This Row],[Cód do Cliente]],'[1]F &amp; O'!$A:$A,'[1]F &amp; O'!D:D,"Sem Finder",0,1)</f>
        <v>Sem Finder</v>
      </c>
      <c r="S310" s="11" t="str">
        <f>_xlfn.XLOOKUP(Base_CRM[[#This Row],[Cód do Cliente]],'[1]F &amp; O'!$A:$A,'[1]F &amp; O'!E:E,"Sem Canal",0,1)</f>
        <v>Sem Canal</v>
      </c>
      <c r="T310" s="11" t="str">
        <f t="shared" si="4"/>
        <v>Cliente XP</v>
      </c>
    </row>
    <row r="311" spans="1:20" x14ac:dyDescent="0.3">
      <c r="A311">
        <v>2759815</v>
      </c>
      <c r="B311" s="8" t="s">
        <v>743</v>
      </c>
      <c r="C311" s="9" t="s">
        <v>39</v>
      </c>
      <c r="D311" s="8">
        <v>78323.56</v>
      </c>
      <c r="E311">
        <v>100000</v>
      </c>
      <c r="F311" t="s">
        <v>22</v>
      </c>
      <c r="G311" t="s">
        <v>744</v>
      </c>
      <c r="H311" s="10">
        <v>31895</v>
      </c>
      <c r="I311" s="10" t="s">
        <v>31</v>
      </c>
      <c r="K311" t="s">
        <v>25</v>
      </c>
      <c r="L311" t="s">
        <v>745</v>
      </c>
      <c r="N311" s="11" t="str">
        <f>Base_CRM[[#This Row],[Cidade]]&amp;"/"&amp;Base_CRM[[#This Row],[Estado]]</f>
        <v>SAO PAULO/</v>
      </c>
      <c r="O311" s="12">
        <f>IFERROR(IF(Base_CRM[[#This Row],[PL Tailor]]&gt;Base_CRM[[#This Row],[PL Declarado]],1,Base_CRM[[#This Row],[PL Tailor]]/Base_CRM[[#This Row],[PL Declarado]]),0)</f>
        <v>0.78323560000000003</v>
      </c>
      <c r="P311" s="11" t="str">
        <f>IF(Base_CRM[[#This Row],[Estado Civil]]="","PESSOA JURÍDICA","PESSOA FÍSICA")</f>
        <v>PESSOA FÍSICA</v>
      </c>
      <c r="Q311" t="str">
        <f>_xlfn.XLOOKUP(Base_CRM[[#This Row],[Cód do Cliente]],'[1]F &amp; O'!$A:$A,'[1]F &amp; O'!$F:$F,_xlfn.XLOOKUP(Base_CRM[[#This Row],[Assessor]],[1]DePara!$A:$A,[1]DePara!$D:$D,"Outros",0,1),0,1)</f>
        <v>Gestora</v>
      </c>
      <c r="R311" s="11" t="str">
        <f>_xlfn.XLOOKUP(Base_CRM[[#This Row],[Cód do Cliente]],'[1]F &amp; O'!$A:$A,'[1]F &amp; O'!D:D,"Sem Finder",0,1)</f>
        <v>Sem Finder</v>
      </c>
      <c r="S311" s="11" t="str">
        <f>_xlfn.XLOOKUP(Base_CRM[[#This Row],[Cód do Cliente]],'[1]F &amp; O'!$A:$A,'[1]F &amp; O'!E:E,"Sem Canal",0,1)</f>
        <v>Gestora</v>
      </c>
      <c r="T311" s="11" t="str">
        <f t="shared" si="4"/>
        <v>Cliente XP</v>
      </c>
    </row>
    <row r="312" spans="1:20" x14ac:dyDescent="0.3">
      <c r="A312">
        <v>2778381</v>
      </c>
      <c r="B312" s="8" t="s">
        <v>746</v>
      </c>
      <c r="C312" s="9" t="s">
        <v>74</v>
      </c>
      <c r="D312" s="8">
        <v>0</v>
      </c>
      <c r="E312">
        <v>1000000</v>
      </c>
      <c r="F312" t="s">
        <v>29</v>
      </c>
      <c r="G312" t="s">
        <v>291</v>
      </c>
      <c r="H312" s="10">
        <v>34314</v>
      </c>
      <c r="I312" s="10" t="s">
        <v>346</v>
      </c>
      <c r="K312" t="s">
        <v>25</v>
      </c>
      <c r="L312" t="s">
        <v>747</v>
      </c>
      <c r="N312" s="11" t="str">
        <f>Base_CRM[[#This Row],[Cidade]]&amp;"/"&amp;Base_CRM[[#This Row],[Estado]]</f>
        <v>PORTO ALEGRE/</v>
      </c>
      <c r="O312" s="12">
        <f>IFERROR(IF(Base_CRM[[#This Row],[PL Tailor]]&gt;Base_CRM[[#This Row],[PL Declarado]],1,Base_CRM[[#This Row],[PL Tailor]]/Base_CRM[[#This Row],[PL Declarado]]),0)</f>
        <v>0</v>
      </c>
      <c r="P312" s="11" t="str">
        <f>IF(Base_CRM[[#This Row],[Estado Civil]]="","PESSOA JURÍDICA","PESSOA FÍSICA")</f>
        <v>PESSOA FÍSICA</v>
      </c>
      <c r="Q312" t="str">
        <f>_xlfn.XLOOKUP(Base_CRM[[#This Row],[Cód do Cliente]],'[1]F &amp; O'!$A:$A,'[1]F &amp; O'!$F:$F,_xlfn.XLOOKUP(Base_CRM[[#This Row],[Assessor]],[1]DePara!$A:$A,[1]DePara!$D:$D,"Outros",0,1),0,1)</f>
        <v>Thayane Freitas</v>
      </c>
      <c r="R312" s="11" t="str">
        <f>_xlfn.XLOOKUP(Base_CRM[[#This Row],[Cód do Cliente]],'[1]F &amp; O'!$A:$A,'[1]F &amp; O'!D:D,"Sem Finder",0,1)</f>
        <v>Sem Finder</v>
      </c>
      <c r="S312" s="11" t="str">
        <f>_xlfn.XLOOKUP(Base_CRM[[#This Row],[Cód do Cliente]],'[1]F &amp; O'!$A:$A,'[1]F &amp; O'!E:E,"Sem Canal",0,1)</f>
        <v>Sem Canal</v>
      </c>
      <c r="T312" s="11" t="str">
        <f t="shared" si="4"/>
        <v>Cliente XP</v>
      </c>
    </row>
    <row r="313" spans="1:20" x14ac:dyDescent="0.3">
      <c r="A313">
        <v>2794676</v>
      </c>
      <c r="B313" s="8" t="s">
        <v>748</v>
      </c>
      <c r="C313" s="9" t="s">
        <v>39</v>
      </c>
      <c r="D313" s="8">
        <v>121733.49</v>
      </c>
      <c r="E313">
        <v>1000000</v>
      </c>
      <c r="F313" t="s">
        <v>29</v>
      </c>
      <c r="G313" t="s">
        <v>45</v>
      </c>
      <c r="H313" s="10">
        <v>36122</v>
      </c>
      <c r="I313" s="10" t="s">
        <v>31</v>
      </c>
      <c r="K313" t="s">
        <v>25</v>
      </c>
      <c r="L313" t="s">
        <v>749</v>
      </c>
      <c r="N313" s="11" t="str">
        <f>Base_CRM[[#This Row],[Cidade]]&amp;"/"&amp;Base_CRM[[#This Row],[Estado]]</f>
        <v>SAO PAULO/</v>
      </c>
      <c r="O313" s="12">
        <f>IFERROR(IF(Base_CRM[[#This Row],[PL Tailor]]&gt;Base_CRM[[#This Row],[PL Declarado]],1,Base_CRM[[#This Row],[PL Tailor]]/Base_CRM[[#This Row],[PL Declarado]]),0)</f>
        <v>0.12173349</v>
      </c>
      <c r="P313" s="11" t="str">
        <f>IF(Base_CRM[[#This Row],[Estado Civil]]="","PESSOA JURÍDICA","PESSOA FÍSICA")</f>
        <v>PESSOA FÍSICA</v>
      </c>
      <c r="Q313" t="str">
        <f>_xlfn.XLOOKUP(Base_CRM[[#This Row],[Cód do Cliente]],'[1]F &amp; O'!$A:$A,'[1]F &amp; O'!$F:$F,_xlfn.XLOOKUP(Base_CRM[[#This Row],[Assessor]],[1]DePara!$A:$A,[1]DePara!$D:$D,"Outros",0,1),0,1)</f>
        <v>Gestora</v>
      </c>
      <c r="R313" s="11" t="str">
        <f>_xlfn.XLOOKUP(Base_CRM[[#This Row],[Cód do Cliente]],'[1]F &amp; O'!$A:$A,'[1]F &amp; O'!D:D,"Sem Finder",0,1)</f>
        <v>Pedro Chagas</v>
      </c>
      <c r="S313" s="11" t="str">
        <f>_xlfn.XLOOKUP(Base_CRM[[#This Row],[Cód do Cliente]],'[1]F &amp; O'!$A:$A,'[1]F &amp; O'!E:E,"Sem Canal",0,1)</f>
        <v>Gestora</v>
      </c>
      <c r="T313" s="11" t="str">
        <f t="shared" si="4"/>
        <v>Cliente XP</v>
      </c>
    </row>
    <row r="314" spans="1:20" x14ac:dyDescent="0.3">
      <c r="A314">
        <v>2806010</v>
      </c>
      <c r="B314" s="8" t="s">
        <v>750</v>
      </c>
      <c r="C314" s="9" t="s">
        <v>74</v>
      </c>
      <c r="D314" s="8">
        <v>33123.339999999997</v>
      </c>
      <c r="E314">
        <v>28000</v>
      </c>
      <c r="F314" t="s">
        <v>29</v>
      </c>
      <c r="G314" t="s">
        <v>751</v>
      </c>
      <c r="H314" s="10">
        <v>30890</v>
      </c>
      <c r="I314" s="10" t="s">
        <v>24</v>
      </c>
      <c r="K314" t="s">
        <v>104</v>
      </c>
      <c r="L314" t="s">
        <v>752</v>
      </c>
      <c r="N314" s="11" t="str">
        <f>Base_CRM[[#This Row],[Cidade]]&amp;"/"&amp;Base_CRM[[#This Row],[Estado]]</f>
        <v>RIO DE JANEIRO/</v>
      </c>
      <c r="O314" s="12">
        <f>IFERROR(IF(Base_CRM[[#This Row],[PL Tailor]]&gt;Base_CRM[[#This Row],[PL Declarado]],1,Base_CRM[[#This Row],[PL Tailor]]/Base_CRM[[#This Row],[PL Declarado]]),0)</f>
        <v>1</v>
      </c>
      <c r="P314" s="11" t="str">
        <f>IF(Base_CRM[[#This Row],[Estado Civil]]="","PESSOA JURÍDICA","PESSOA FÍSICA")</f>
        <v>PESSOA FÍSICA</v>
      </c>
      <c r="Q314" t="str">
        <f>_xlfn.XLOOKUP(Base_CRM[[#This Row],[Cód do Cliente]],'[1]F &amp; O'!$A:$A,'[1]F &amp; O'!$F:$F,_xlfn.XLOOKUP(Base_CRM[[#This Row],[Assessor]],[1]DePara!$A:$A,[1]DePara!$D:$D,"Outros",0,1),0,1)</f>
        <v>Thayane Freitas</v>
      </c>
      <c r="R314" s="11" t="str">
        <f>_xlfn.XLOOKUP(Base_CRM[[#This Row],[Cód do Cliente]],'[1]F &amp; O'!$A:$A,'[1]F &amp; O'!D:D,"Sem Finder",0,1)</f>
        <v>Sem Finder</v>
      </c>
      <c r="S314" s="11" t="str">
        <f>_xlfn.XLOOKUP(Base_CRM[[#This Row],[Cód do Cliente]],'[1]F &amp; O'!$A:$A,'[1]F &amp; O'!E:E,"Sem Canal",0,1)</f>
        <v>Sem Canal</v>
      </c>
      <c r="T314" s="11" t="str">
        <f t="shared" si="4"/>
        <v>Cliente XP</v>
      </c>
    </row>
    <row r="315" spans="1:20" x14ac:dyDescent="0.3">
      <c r="A315">
        <v>2813224</v>
      </c>
      <c r="B315" s="8" t="s">
        <v>753</v>
      </c>
      <c r="C315" s="9" t="s">
        <v>74</v>
      </c>
      <c r="D315" s="8">
        <v>0</v>
      </c>
      <c r="E315">
        <v>56000000</v>
      </c>
      <c r="F315" t="s">
        <v>22</v>
      </c>
      <c r="G315" t="s">
        <v>127</v>
      </c>
      <c r="H315" s="10">
        <v>20236</v>
      </c>
      <c r="I315" s="10" t="s">
        <v>130</v>
      </c>
      <c r="K315" t="s">
        <v>68</v>
      </c>
      <c r="L315" t="s">
        <v>754</v>
      </c>
      <c r="N315" s="11" t="str">
        <f>Base_CRM[[#This Row],[Cidade]]&amp;"/"&amp;Base_CRM[[#This Row],[Estado]]</f>
        <v>FLORIANOPOLIS/</v>
      </c>
      <c r="O315" s="12">
        <f>IFERROR(IF(Base_CRM[[#This Row],[PL Tailor]]&gt;Base_CRM[[#This Row],[PL Declarado]],1,Base_CRM[[#This Row],[PL Tailor]]/Base_CRM[[#This Row],[PL Declarado]]),0)</f>
        <v>0</v>
      </c>
      <c r="P315" s="11" t="str">
        <f>IF(Base_CRM[[#This Row],[Estado Civil]]="","PESSOA JURÍDICA","PESSOA FÍSICA")</f>
        <v>PESSOA FÍSICA</v>
      </c>
      <c r="Q315" t="str">
        <f>_xlfn.XLOOKUP(Base_CRM[[#This Row],[Cód do Cliente]],'[1]F &amp; O'!$A:$A,'[1]F &amp; O'!$F:$F,_xlfn.XLOOKUP(Base_CRM[[#This Row],[Assessor]],[1]DePara!$A:$A,[1]DePara!$D:$D,"Outros",0,1),0,1)</f>
        <v>Thayane Freitas</v>
      </c>
      <c r="R315" s="11" t="str">
        <f>_xlfn.XLOOKUP(Base_CRM[[#This Row],[Cód do Cliente]],'[1]F &amp; O'!$A:$A,'[1]F &amp; O'!D:D,"Sem Finder",0,1)</f>
        <v>Sem Finder</v>
      </c>
      <c r="S315" s="11" t="str">
        <f>_xlfn.XLOOKUP(Base_CRM[[#This Row],[Cód do Cliente]],'[1]F &amp; O'!$A:$A,'[1]F &amp; O'!E:E,"Sem Canal",0,1)</f>
        <v>Sem Canal</v>
      </c>
      <c r="T315" s="11" t="str">
        <f t="shared" si="4"/>
        <v>Cliente XP</v>
      </c>
    </row>
    <row r="316" spans="1:20" x14ac:dyDescent="0.3">
      <c r="A316">
        <v>2862332</v>
      </c>
      <c r="B316" s="8" t="s">
        <v>755</v>
      </c>
      <c r="C316" s="9" t="s">
        <v>74</v>
      </c>
      <c r="D316" s="8">
        <v>66473.2</v>
      </c>
      <c r="E316">
        <v>140000</v>
      </c>
      <c r="F316" t="s">
        <v>29</v>
      </c>
      <c r="G316" t="s">
        <v>334</v>
      </c>
      <c r="H316" s="10">
        <v>34309</v>
      </c>
      <c r="I316" s="10" t="s">
        <v>31</v>
      </c>
      <c r="K316" t="s">
        <v>25</v>
      </c>
      <c r="L316" t="s">
        <v>756</v>
      </c>
      <c r="M316" t="s">
        <v>90</v>
      </c>
      <c r="N316" s="11" t="str">
        <f>Base_CRM[[#This Row],[Cidade]]&amp;"/"&amp;Base_CRM[[#This Row],[Estado]]</f>
        <v>SAO PAULO/</v>
      </c>
      <c r="O316" s="12">
        <f>IFERROR(IF(Base_CRM[[#This Row],[PL Tailor]]&gt;Base_CRM[[#This Row],[PL Declarado]],1,Base_CRM[[#This Row],[PL Tailor]]/Base_CRM[[#This Row],[PL Declarado]]),0)</f>
        <v>0.47480857142857141</v>
      </c>
      <c r="P316" s="11" t="str">
        <f>IF(Base_CRM[[#This Row],[Estado Civil]]="","PESSOA JURÍDICA","PESSOA FÍSICA")</f>
        <v>PESSOA FÍSICA</v>
      </c>
      <c r="Q316" t="str">
        <f>_xlfn.XLOOKUP(Base_CRM[[#This Row],[Cód do Cliente]],'[1]F &amp; O'!$A:$A,'[1]F &amp; O'!$F:$F,_xlfn.XLOOKUP(Base_CRM[[#This Row],[Assessor]],[1]DePara!$A:$A,[1]DePara!$D:$D,"Outros",0,1),0,1)</f>
        <v>Thayane Freitas</v>
      </c>
      <c r="R316" s="11" t="str">
        <f>_xlfn.XLOOKUP(Base_CRM[[#This Row],[Cód do Cliente]],'[1]F &amp; O'!$A:$A,'[1]F &amp; O'!D:D,"Sem Finder",0,1)</f>
        <v>Sem Finder</v>
      </c>
      <c r="S316" s="11" t="str">
        <f>_xlfn.XLOOKUP(Base_CRM[[#This Row],[Cód do Cliente]],'[1]F &amp; O'!$A:$A,'[1]F &amp; O'!E:E,"Sem Canal",0,1)</f>
        <v>Sem Canal</v>
      </c>
      <c r="T316" s="11" t="str">
        <f t="shared" si="4"/>
        <v>Cliente XP</v>
      </c>
    </row>
    <row r="317" spans="1:20" x14ac:dyDescent="0.3">
      <c r="A317">
        <v>286320</v>
      </c>
      <c r="B317" s="8" t="s">
        <v>757</v>
      </c>
      <c r="C317" s="9" t="s">
        <v>48</v>
      </c>
      <c r="D317" s="8">
        <v>3045842.87</v>
      </c>
      <c r="E317">
        <v>2400000</v>
      </c>
      <c r="F317" t="s">
        <v>29</v>
      </c>
      <c r="G317" t="s">
        <v>67</v>
      </c>
      <c r="H317" s="10">
        <v>30952</v>
      </c>
      <c r="I317" s="10" t="s">
        <v>62</v>
      </c>
      <c r="K317" t="s">
        <v>25</v>
      </c>
      <c r="L317" t="s">
        <v>758</v>
      </c>
      <c r="N317" s="11" t="str">
        <f>Base_CRM[[#This Row],[Cidade]]&amp;"/"&amp;Base_CRM[[#This Row],[Estado]]</f>
        <v>Rio de Janeiro/</v>
      </c>
      <c r="O317" s="12">
        <f>IFERROR(IF(Base_CRM[[#This Row],[PL Tailor]]&gt;Base_CRM[[#This Row],[PL Declarado]],1,Base_CRM[[#This Row],[PL Tailor]]/Base_CRM[[#This Row],[PL Declarado]]),0)</f>
        <v>1</v>
      </c>
      <c r="P317" s="11" t="str">
        <f>IF(Base_CRM[[#This Row],[Estado Civil]]="","PESSOA JURÍDICA","PESSOA FÍSICA")</f>
        <v>PESSOA FÍSICA</v>
      </c>
      <c r="Q317" t="str">
        <f>_xlfn.XLOOKUP(Base_CRM[[#This Row],[Cód do Cliente]],'[1]F &amp; O'!$A:$A,'[1]F &amp; O'!$F:$F,_xlfn.XLOOKUP(Base_CRM[[#This Row],[Assessor]],[1]DePara!$A:$A,[1]DePara!$D:$D,"Outros",0,1),0,1)</f>
        <v>Thayane Freitas</v>
      </c>
      <c r="R317" s="11" t="str">
        <f>_xlfn.XLOOKUP(Base_CRM[[#This Row],[Cód do Cliente]],'[1]F &amp; O'!$A:$A,'[1]F &amp; O'!D:D,"Sem Finder",0,1)</f>
        <v>Sem Finder</v>
      </c>
      <c r="S317" s="11" t="str">
        <f>_xlfn.XLOOKUP(Base_CRM[[#This Row],[Cód do Cliente]],'[1]F &amp; O'!$A:$A,'[1]F &amp; O'!E:E,"Sem Canal",0,1)</f>
        <v>Sem Canal</v>
      </c>
      <c r="T317" s="11" t="str">
        <f t="shared" si="4"/>
        <v>Cliente XP</v>
      </c>
    </row>
    <row r="318" spans="1:20" x14ac:dyDescent="0.3">
      <c r="A318">
        <v>2867137</v>
      </c>
      <c r="B318" s="8" t="s">
        <v>301</v>
      </c>
      <c r="C318" s="9" t="s">
        <v>39</v>
      </c>
      <c r="D318" s="8">
        <v>1979787.97</v>
      </c>
      <c r="E318">
        <v>1000000</v>
      </c>
      <c r="F318" t="s">
        <v>29</v>
      </c>
      <c r="G318" t="s">
        <v>67</v>
      </c>
      <c r="H318" s="10">
        <v>32501</v>
      </c>
      <c r="I318" s="10" t="s">
        <v>115</v>
      </c>
      <c r="K318" t="s">
        <v>25</v>
      </c>
      <c r="L318" t="s">
        <v>302</v>
      </c>
      <c r="N318" s="11" t="str">
        <f>Base_CRM[[#This Row],[Cidade]]&amp;"/"&amp;Base_CRM[[#This Row],[Estado]]</f>
        <v>BARUERI/</v>
      </c>
      <c r="O318" s="12">
        <f>IFERROR(IF(Base_CRM[[#This Row],[PL Tailor]]&gt;Base_CRM[[#This Row],[PL Declarado]],1,Base_CRM[[#This Row],[PL Tailor]]/Base_CRM[[#This Row],[PL Declarado]]),0)</f>
        <v>1</v>
      </c>
      <c r="P318" s="11" t="str">
        <f>IF(Base_CRM[[#This Row],[Estado Civil]]="","PESSOA JURÍDICA","PESSOA FÍSICA")</f>
        <v>PESSOA FÍSICA</v>
      </c>
      <c r="Q318" t="str">
        <f>_xlfn.XLOOKUP(Base_CRM[[#This Row],[Cód do Cliente]],'[1]F &amp; O'!$A:$A,'[1]F &amp; O'!$F:$F,_xlfn.XLOOKUP(Base_CRM[[#This Row],[Assessor]],[1]DePara!$A:$A,[1]DePara!$D:$D,"Outros",0,1),0,1)</f>
        <v>Gestora</v>
      </c>
      <c r="R318" s="11" t="str">
        <f>_xlfn.XLOOKUP(Base_CRM[[#This Row],[Cód do Cliente]],'[1]F &amp; O'!$A:$A,'[1]F &amp; O'!D:D,"Sem Finder",0,1)</f>
        <v>Sem Finder</v>
      </c>
      <c r="S318" s="11" t="str">
        <f>_xlfn.XLOOKUP(Base_CRM[[#This Row],[Cód do Cliente]],'[1]F &amp; O'!$A:$A,'[1]F &amp; O'!E:E,"Sem Canal",0,1)</f>
        <v>Gestora</v>
      </c>
      <c r="T318" s="11" t="str">
        <f t="shared" si="4"/>
        <v>Cliente XP</v>
      </c>
    </row>
    <row r="319" spans="1:20" x14ac:dyDescent="0.3">
      <c r="A319">
        <v>286873</v>
      </c>
      <c r="B319" s="8" t="s">
        <v>759</v>
      </c>
      <c r="C319" s="9" t="s">
        <v>74</v>
      </c>
      <c r="D319" s="8">
        <v>12379.91</v>
      </c>
      <c r="E319">
        <v>400000</v>
      </c>
      <c r="F319" t="s">
        <v>22</v>
      </c>
      <c r="G319" t="s">
        <v>23</v>
      </c>
      <c r="H319" s="10">
        <v>30089</v>
      </c>
      <c r="I319" s="10" t="s">
        <v>247</v>
      </c>
      <c r="K319" t="s">
        <v>42</v>
      </c>
      <c r="L319" t="s">
        <v>760</v>
      </c>
      <c r="N319" s="11" t="str">
        <f>Base_CRM[[#This Row],[Cidade]]&amp;"/"&amp;Base_CRM[[#This Row],[Estado]]</f>
        <v>Campinas/</v>
      </c>
      <c r="O319" s="12">
        <f>IFERROR(IF(Base_CRM[[#This Row],[PL Tailor]]&gt;Base_CRM[[#This Row],[PL Declarado]],1,Base_CRM[[#This Row],[PL Tailor]]/Base_CRM[[#This Row],[PL Declarado]]),0)</f>
        <v>3.0949774999999999E-2</v>
      </c>
      <c r="P319" s="11" t="str">
        <f>IF(Base_CRM[[#This Row],[Estado Civil]]="","PESSOA JURÍDICA","PESSOA FÍSICA")</f>
        <v>PESSOA FÍSICA</v>
      </c>
      <c r="Q319" t="str">
        <f>_xlfn.XLOOKUP(Base_CRM[[#This Row],[Cód do Cliente]],'[1]F &amp; O'!$A:$A,'[1]F &amp; O'!$F:$F,_xlfn.XLOOKUP(Base_CRM[[#This Row],[Assessor]],[1]DePara!$A:$A,[1]DePara!$D:$D,"Outros",0,1),0,1)</f>
        <v>Thayane Freitas</v>
      </c>
      <c r="R319" s="11" t="str">
        <f>_xlfn.XLOOKUP(Base_CRM[[#This Row],[Cód do Cliente]],'[1]F &amp; O'!$A:$A,'[1]F &amp; O'!D:D,"Sem Finder",0,1)</f>
        <v>Sem Finder</v>
      </c>
      <c r="S319" s="11" t="str">
        <f>_xlfn.XLOOKUP(Base_CRM[[#This Row],[Cód do Cliente]],'[1]F &amp; O'!$A:$A,'[1]F &amp; O'!E:E,"Sem Canal",0,1)</f>
        <v>Sem Canal</v>
      </c>
      <c r="T319" s="11" t="str">
        <f t="shared" si="4"/>
        <v>Cliente XP</v>
      </c>
    </row>
    <row r="320" spans="1:20" x14ac:dyDescent="0.3">
      <c r="A320">
        <v>2874581</v>
      </c>
      <c r="B320" s="8" t="s">
        <v>761</v>
      </c>
      <c r="C320" s="9" t="s">
        <v>48</v>
      </c>
      <c r="D320" s="8">
        <v>499012.19</v>
      </c>
      <c r="E320">
        <v>10000000</v>
      </c>
      <c r="F320" t="s">
        <v>22</v>
      </c>
      <c r="G320" t="s">
        <v>67</v>
      </c>
      <c r="H320" s="10">
        <v>26610</v>
      </c>
      <c r="I320" s="10" t="s">
        <v>349</v>
      </c>
      <c r="K320" t="s">
        <v>68</v>
      </c>
      <c r="L320" t="s">
        <v>762</v>
      </c>
      <c r="M320" t="s">
        <v>27</v>
      </c>
      <c r="N320" s="11" t="str">
        <f>Base_CRM[[#This Row],[Cidade]]&amp;"/"&amp;Base_CRM[[#This Row],[Estado]]</f>
        <v>São Paulo/</v>
      </c>
      <c r="O320" s="12">
        <f>IFERROR(IF(Base_CRM[[#This Row],[PL Tailor]]&gt;Base_CRM[[#This Row],[PL Declarado]],1,Base_CRM[[#This Row],[PL Tailor]]/Base_CRM[[#This Row],[PL Declarado]]),0)</f>
        <v>4.9901219000000004E-2</v>
      </c>
      <c r="P320" s="11" t="str">
        <f>IF(Base_CRM[[#This Row],[Estado Civil]]="","PESSOA JURÍDICA","PESSOA FÍSICA")</f>
        <v>PESSOA FÍSICA</v>
      </c>
      <c r="Q320" t="str">
        <f>_xlfn.XLOOKUP(Base_CRM[[#This Row],[Cód do Cliente]],'[1]F &amp; O'!$A:$A,'[1]F &amp; O'!$F:$F,_xlfn.XLOOKUP(Base_CRM[[#This Row],[Assessor]],[1]DePara!$A:$A,[1]DePara!$D:$D,"Outros",0,1),0,1)</f>
        <v>Raphael Farias</v>
      </c>
      <c r="R320" s="11" t="str">
        <f>_xlfn.XLOOKUP(Base_CRM[[#This Row],[Cód do Cliente]],'[1]F &amp; O'!$A:$A,'[1]F &amp; O'!D:D,"Sem Finder",0,1)</f>
        <v>Sem Finder</v>
      </c>
      <c r="S320" s="11" t="str">
        <f>_xlfn.XLOOKUP(Base_CRM[[#This Row],[Cód do Cliente]],'[1]F &amp; O'!$A:$A,'[1]F &amp; O'!E:E,"Sem Canal",0,1)</f>
        <v>Sem Canal</v>
      </c>
      <c r="T320" s="11" t="str">
        <f t="shared" si="4"/>
        <v>Cliente XP</v>
      </c>
    </row>
    <row r="321" spans="1:20" x14ac:dyDescent="0.3">
      <c r="A321">
        <v>2892441</v>
      </c>
      <c r="B321" s="8" t="s">
        <v>763</v>
      </c>
      <c r="C321" s="9" t="s">
        <v>21</v>
      </c>
      <c r="D321" s="8">
        <v>213540.02</v>
      </c>
      <c r="E321">
        <v>1000000</v>
      </c>
      <c r="F321" t="s">
        <v>22</v>
      </c>
      <c r="G321" t="s">
        <v>177</v>
      </c>
      <c r="H321" s="10">
        <v>33973</v>
      </c>
      <c r="I321" s="10" t="s">
        <v>31</v>
      </c>
      <c r="K321" t="s">
        <v>25</v>
      </c>
      <c r="L321" t="s">
        <v>764</v>
      </c>
      <c r="N321" s="11" t="str">
        <f>Base_CRM[[#This Row],[Cidade]]&amp;"/"&amp;Base_CRM[[#This Row],[Estado]]</f>
        <v>SAO PAULO/</v>
      </c>
      <c r="O321" s="12">
        <f>IFERROR(IF(Base_CRM[[#This Row],[PL Tailor]]&gt;Base_CRM[[#This Row],[PL Declarado]],1,Base_CRM[[#This Row],[PL Tailor]]/Base_CRM[[#This Row],[PL Declarado]]),0)</f>
        <v>0.21354002</v>
      </c>
      <c r="P321" s="11" t="str">
        <f>IF(Base_CRM[[#This Row],[Estado Civil]]="","PESSOA JURÍDICA","PESSOA FÍSICA")</f>
        <v>PESSOA FÍSICA</v>
      </c>
      <c r="Q321" t="str">
        <f>_xlfn.XLOOKUP(Base_CRM[[#This Row],[Cód do Cliente]],'[1]F &amp; O'!$A:$A,'[1]F &amp; O'!$F:$F,_xlfn.XLOOKUP(Base_CRM[[#This Row],[Assessor]],[1]DePara!$A:$A,[1]DePara!$D:$D,"Outros",0,1),0,1)</f>
        <v>Leonardo Burle</v>
      </c>
      <c r="R321" s="11" t="str">
        <f>_xlfn.XLOOKUP(Base_CRM[[#This Row],[Cód do Cliente]],'[1]F &amp; O'!$A:$A,'[1]F &amp; O'!D:D,"Sem Finder",0,1)</f>
        <v>Sem Finder</v>
      </c>
      <c r="S321" s="11" t="str">
        <f>_xlfn.XLOOKUP(Base_CRM[[#This Row],[Cód do Cliente]],'[1]F &amp; O'!$A:$A,'[1]F &amp; O'!E:E,"Sem Canal",0,1)</f>
        <v>Sem Canal</v>
      </c>
      <c r="T321" s="11" t="str">
        <f t="shared" si="4"/>
        <v>Cliente XP</v>
      </c>
    </row>
    <row r="322" spans="1:20" x14ac:dyDescent="0.3">
      <c r="A322">
        <v>2899799</v>
      </c>
      <c r="B322" s="8" t="s">
        <v>765</v>
      </c>
      <c r="C322" s="9" t="s">
        <v>74</v>
      </c>
      <c r="D322" s="8">
        <v>35614.15</v>
      </c>
      <c r="E322">
        <v>1500000</v>
      </c>
      <c r="F322" t="s">
        <v>22</v>
      </c>
      <c r="G322" t="s">
        <v>49</v>
      </c>
      <c r="H322" s="10">
        <v>30449</v>
      </c>
      <c r="I322" s="10" t="s">
        <v>349</v>
      </c>
      <c r="K322" t="s">
        <v>42</v>
      </c>
      <c r="L322" t="s">
        <v>766</v>
      </c>
      <c r="N322" s="11" t="str">
        <f>Base_CRM[[#This Row],[Cidade]]&amp;"/"&amp;Base_CRM[[#This Row],[Estado]]</f>
        <v>São Paulo/</v>
      </c>
      <c r="O322" s="12">
        <f>IFERROR(IF(Base_CRM[[#This Row],[PL Tailor]]&gt;Base_CRM[[#This Row],[PL Declarado]],1,Base_CRM[[#This Row],[PL Tailor]]/Base_CRM[[#This Row],[PL Declarado]]),0)</f>
        <v>2.3742766666666668E-2</v>
      </c>
      <c r="P322" s="11" t="str">
        <f>IF(Base_CRM[[#This Row],[Estado Civil]]="","PESSOA JURÍDICA","PESSOA FÍSICA")</f>
        <v>PESSOA FÍSICA</v>
      </c>
      <c r="Q322" t="str">
        <f>_xlfn.XLOOKUP(Base_CRM[[#This Row],[Cód do Cliente]],'[1]F &amp; O'!$A:$A,'[1]F &amp; O'!$F:$F,_xlfn.XLOOKUP(Base_CRM[[#This Row],[Assessor]],[1]DePara!$A:$A,[1]DePara!$D:$D,"Outros",0,1),0,1)</f>
        <v>Thayane Freitas</v>
      </c>
      <c r="R322" s="11" t="str">
        <f>_xlfn.XLOOKUP(Base_CRM[[#This Row],[Cód do Cliente]],'[1]F &amp; O'!$A:$A,'[1]F &amp; O'!D:D,"Sem Finder",0,1)</f>
        <v>Sem Finder</v>
      </c>
      <c r="S322" s="11" t="str">
        <f>_xlfn.XLOOKUP(Base_CRM[[#This Row],[Cód do Cliente]],'[1]F &amp; O'!$A:$A,'[1]F &amp; O'!E:E,"Sem Canal",0,1)</f>
        <v>Sem Canal</v>
      </c>
      <c r="T322" s="11" t="str">
        <f t="shared" ref="T322:T385" si="5">"Cliente XP"</f>
        <v>Cliente XP</v>
      </c>
    </row>
    <row r="323" spans="1:20" x14ac:dyDescent="0.3">
      <c r="A323">
        <v>2930345</v>
      </c>
      <c r="B323" s="8" t="s">
        <v>767</v>
      </c>
      <c r="C323" s="9" t="s">
        <v>39</v>
      </c>
      <c r="D323" s="8">
        <v>1912.73</v>
      </c>
      <c r="E323">
        <v>100000</v>
      </c>
      <c r="F323" t="s">
        <v>22</v>
      </c>
      <c r="G323" t="s">
        <v>35</v>
      </c>
      <c r="H323" s="10">
        <v>33037</v>
      </c>
      <c r="I323" s="10" t="s">
        <v>115</v>
      </c>
      <c r="K323" t="s">
        <v>42</v>
      </c>
      <c r="L323" t="s">
        <v>768</v>
      </c>
      <c r="N323" s="11" t="str">
        <f>Base_CRM[[#This Row],[Cidade]]&amp;"/"&amp;Base_CRM[[#This Row],[Estado]]</f>
        <v>BARUERI/</v>
      </c>
      <c r="O323" s="12">
        <f>IFERROR(IF(Base_CRM[[#This Row],[PL Tailor]]&gt;Base_CRM[[#This Row],[PL Declarado]],1,Base_CRM[[#This Row],[PL Tailor]]/Base_CRM[[#This Row],[PL Declarado]]),0)</f>
        <v>1.91273E-2</v>
      </c>
      <c r="P323" s="11" t="str">
        <f>IF(Base_CRM[[#This Row],[Estado Civil]]="","PESSOA JURÍDICA","PESSOA FÍSICA")</f>
        <v>PESSOA FÍSICA</v>
      </c>
      <c r="Q323" t="str">
        <f>_xlfn.XLOOKUP(Base_CRM[[#This Row],[Cód do Cliente]],'[1]F &amp; O'!$A:$A,'[1]F &amp; O'!$F:$F,_xlfn.XLOOKUP(Base_CRM[[#This Row],[Assessor]],[1]DePara!$A:$A,[1]DePara!$D:$D,"Outros",0,1),0,1)</f>
        <v>Gestora</v>
      </c>
      <c r="R323" s="11" t="str">
        <f>_xlfn.XLOOKUP(Base_CRM[[#This Row],[Cód do Cliente]],'[1]F &amp; O'!$A:$A,'[1]F &amp; O'!D:D,"Sem Finder",0,1)</f>
        <v>José De Marchi</v>
      </c>
      <c r="S323" s="11" t="str">
        <f>_xlfn.XLOOKUP(Base_CRM[[#This Row],[Cód do Cliente]],'[1]F &amp; O'!$A:$A,'[1]F &amp; O'!E:E,"Sem Canal",0,1)</f>
        <v>Gestora</v>
      </c>
      <c r="T323" s="11" t="str">
        <f t="shared" si="5"/>
        <v>Cliente XP</v>
      </c>
    </row>
    <row r="324" spans="1:20" x14ac:dyDescent="0.3">
      <c r="A324">
        <v>2978373</v>
      </c>
      <c r="B324" s="8" t="s">
        <v>769</v>
      </c>
      <c r="C324" s="9" t="s">
        <v>48</v>
      </c>
      <c r="D324" s="8">
        <v>1431766.08</v>
      </c>
      <c r="E324">
        <v>2000000</v>
      </c>
      <c r="F324" t="s">
        <v>29</v>
      </c>
      <c r="G324" t="s">
        <v>87</v>
      </c>
      <c r="H324" s="10">
        <v>30362</v>
      </c>
      <c r="I324" s="10" t="s">
        <v>349</v>
      </c>
      <c r="K324" t="s">
        <v>42</v>
      </c>
      <c r="L324" t="s">
        <v>770</v>
      </c>
      <c r="M324" t="s">
        <v>771</v>
      </c>
      <c r="N324" s="11" t="str">
        <f>Base_CRM[[#This Row],[Cidade]]&amp;"/"&amp;Base_CRM[[#This Row],[Estado]]</f>
        <v>São Paulo/</v>
      </c>
      <c r="O324" s="12">
        <f>IFERROR(IF(Base_CRM[[#This Row],[PL Tailor]]&gt;Base_CRM[[#This Row],[PL Declarado]],1,Base_CRM[[#This Row],[PL Tailor]]/Base_CRM[[#This Row],[PL Declarado]]),0)</f>
        <v>0.71588304000000003</v>
      </c>
      <c r="P324" s="11" t="str">
        <f>IF(Base_CRM[[#This Row],[Estado Civil]]="","PESSOA JURÍDICA","PESSOA FÍSICA")</f>
        <v>PESSOA FÍSICA</v>
      </c>
      <c r="Q324" t="str">
        <f>_xlfn.XLOOKUP(Base_CRM[[#This Row],[Cód do Cliente]],'[1]F &amp; O'!$A:$A,'[1]F &amp; O'!$F:$F,_xlfn.XLOOKUP(Base_CRM[[#This Row],[Assessor]],[1]DePara!$A:$A,[1]DePara!$D:$D,"Outros",0,1),0,1)</f>
        <v>Raphael Farias</v>
      </c>
      <c r="R324" s="11" t="str">
        <f>_xlfn.XLOOKUP(Base_CRM[[#This Row],[Cód do Cliente]],'[1]F &amp; O'!$A:$A,'[1]F &amp; O'!D:D,"Sem Finder",0,1)</f>
        <v>Sem Finder</v>
      </c>
      <c r="S324" s="11" t="str">
        <f>_xlfn.XLOOKUP(Base_CRM[[#This Row],[Cód do Cliente]],'[1]F &amp; O'!$A:$A,'[1]F &amp; O'!E:E,"Sem Canal",0,1)</f>
        <v>Sem Canal</v>
      </c>
      <c r="T324" s="11" t="str">
        <f t="shared" si="5"/>
        <v>Cliente XP</v>
      </c>
    </row>
    <row r="325" spans="1:20" x14ac:dyDescent="0.3">
      <c r="A325">
        <v>299536</v>
      </c>
      <c r="B325" s="8" t="s">
        <v>772</v>
      </c>
      <c r="C325" s="9" t="s">
        <v>74</v>
      </c>
      <c r="D325" s="8">
        <v>0</v>
      </c>
      <c r="E325">
        <v>110000</v>
      </c>
      <c r="F325" t="s">
        <v>22</v>
      </c>
      <c r="G325" t="s">
        <v>87</v>
      </c>
      <c r="H325" s="10">
        <v>27235</v>
      </c>
      <c r="I325" s="10" t="s">
        <v>349</v>
      </c>
      <c r="K325" t="s">
        <v>68</v>
      </c>
      <c r="L325" t="s">
        <v>773</v>
      </c>
      <c r="M325" t="s">
        <v>64</v>
      </c>
      <c r="N325" s="11" t="str">
        <f>Base_CRM[[#This Row],[Cidade]]&amp;"/"&amp;Base_CRM[[#This Row],[Estado]]</f>
        <v>São Paulo/</v>
      </c>
      <c r="O325" s="12">
        <f>IFERROR(IF(Base_CRM[[#This Row],[PL Tailor]]&gt;Base_CRM[[#This Row],[PL Declarado]],1,Base_CRM[[#This Row],[PL Tailor]]/Base_CRM[[#This Row],[PL Declarado]]),0)</f>
        <v>0</v>
      </c>
      <c r="P325" s="11" t="str">
        <f>IF(Base_CRM[[#This Row],[Estado Civil]]="","PESSOA JURÍDICA","PESSOA FÍSICA")</f>
        <v>PESSOA FÍSICA</v>
      </c>
      <c r="Q325" t="str">
        <f>_xlfn.XLOOKUP(Base_CRM[[#This Row],[Cód do Cliente]],'[1]F &amp; O'!$A:$A,'[1]F &amp; O'!$F:$F,_xlfn.XLOOKUP(Base_CRM[[#This Row],[Assessor]],[1]DePara!$A:$A,[1]DePara!$D:$D,"Outros",0,1),0,1)</f>
        <v>Legado</v>
      </c>
      <c r="R325" s="11" t="str">
        <f>_xlfn.XLOOKUP(Base_CRM[[#This Row],[Cód do Cliente]],'[1]F &amp; O'!$A:$A,'[1]F &amp; O'!D:D,"Sem Finder",0,1)</f>
        <v>Sem Finder</v>
      </c>
      <c r="S325" s="11" t="str">
        <f>_xlfn.XLOOKUP(Base_CRM[[#This Row],[Cód do Cliente]],'[1]F &amp; O'!$A:$A,'[1]F &amp; O'!E:E,"Sem Canal",0,1)</f>
        <v>Sem Canal</v>
      </c>
      <c r="T325" s="11" t="str">
        <f t="shared" si="5"/>
        <v>Cliente XP</v>
      </c>
    </row>
    <row r="326" spans="1:20" x14ac:dyDescent="0.3">
      <c r="A326">
        <v>3050186</v>
      </c>
      <c r="B326" s="8" t="s">
        <v>774</v>
      </c>
      <c r="C326" s="9" t="s">
        <v>74</v>
      </c>
      <c r="D326" s="8">
        <v>0</v>
      </c>
      <c r="E326">
        <v>80000</v>
      </c>
      <c r="F326" t="s">
        <v>22</v>
      </c>
      <c r="G326" t="s">
        <v>35</v>
      </c>
      <c r="H326" s="10">
        <v>30288</v>
      </c>
      <c r="I326" s="10" t="s">
        <v>130</v>
      </c>
      <c r="K326" t="s">
        <v>42</v>
      </c>
      <c r="L326" t="s">
        <v>775</v>
      </c>
      <c r="M326" t="s">
        <v>60</v>
      </c>
      <c r="N326" s="11" t="str">
        <f>Base_CRM[[#This Row],[Cidade]]&amp;"/"&amp;Base_CRM[[#This Row],[Estado]]</f>
        <v>FLORIANOPOLIS/</v>
      </c>
      <c r="O326" s="12">
        <f>IFERROR(IF(Base_CRM[[#This Row],[PL Tailor]]&gt;Base_CRM[[#This Row],[PL Declarado]],1,Base_CRM[[#This Row],[PL Tailor]]/Base_CRM[[#This Row],[PL Declarado]]),0)</f>
        <v>0</v>
      </c>
      <c r="P326" s="11" t="str">
        <f>IF(Base_CRM[[#This Row],[Estado Civil]]="","PESSOA JURÍDICA","PESSOA FÍSICA")</f>
        <v>PESSOA FÍSICA</v>
      </c>
      <c r="Q326" t="str">
        <f>_xlfn.XLOOKUP(Base_CRM[[#This Row],[Cód do Cliente]],'[1]F &amp; O'!$A:$A,'[1]F &amp; O'!$F:$F,_xlfn.XLOOKUP(Base_CRM[[#This Row],[Assessor]],[1]DePara!$A:$A,[1]DePara!$D:$D,"Outros",0,1),0,1)</f>
        <v>Thayane Freitas</v>
      </c>
      <c r="R326" s="11" t="str">
        <f>_xlfn.XLOOKUP(Base_CRM[[#This Row],[Cód do Cliente]],'[1]F &amp; O'!$A:$A,'[1]F &amp; O'!D:D,"Sem Finder",0,1)</f>
        <v>Sem Finder</v>
      </c>
      <c r="S326" s="11" t="str">
        <f>_xlfn.XLOOKUP(Base_CRM[[#This Row],[Cód do Cliente]],'[1]F &amp; O'!$A:$A,'[1]F &amp; O'!E:E,"Sem Canal",0,1)</f>
        <v>Sem Canal</v>
      </c>
      <c r="T326" s="11" t="str">
        <f t="shared" si="5"/>
        <v>Cliente XP</v>
      </c>
    </row>
    <row r="327" spans="1:20" x14ac:dyDescent="0.3">
      <c r="A327">
        <v>307536</v>
      </c>
      <c r="B327" s="8" t="s">
        <v>776</v>
      </c>
      <c r="C327" s="9" t="s">
        <v>103</v>
      </c>
      <c r="D327" s="8">
        <v>559400.9</v>
      </c>
      <c r="E327">
        <v>1000000</v>
      </c>
      <c r="F327" t="s">
        <v>29</v>
      </c>
      <c r="G327" t="s">
        <v>715</v>
      </c>
      <c r="H327" s="10">
        <v>33698</v>
      </c>
      <c r="I327" s="10" t="s">
        <v>24</v>
      </c>
      <c r="K327" t="s">
        <v>25</v>
      </c>
      <c r="L327" t="s">
        <v>777</v>
      </c>
      <c r="N327" s="11" t="str">
        <f>Base_CRM[[#This Row],[Cidade]]&amp;"/"&amp;Base_CRM[[#This Row],[Estado]]</f>
        <v>RIO DE JANEIRO/</v>
      </c>
      <c r="O327" s="12">
        <f>IFERROR(IF(Base_CRM[[#This Row],[PL Tailor]]&gt;Base_CRM[[#This Row],[PL Declarado]],1,Base_CRM[[#This Row],[PL Tailor]]/Base_CRM[[#This Row],[PL Declarado]]),0)</f>
        <v>0.55940089999999998</v>
      </c>
      <c r="P327" s="11" t="str">
        <f>IF(Base_CRM[[#This Row],[Estado Civil]]="","PESSOA JURÍDICA","PESSOA FÍSICA")</f>
        <v>PESSOA FÍSICA</v>
      </c>
      <c r="Q327" t="str">
        <f>_xlfn.XLOOKUP(Base_CRM[[#This Row],[Cód do Cliente]],'[1]F &amp; O'!$A:$A,'[1]F &amp; O'!$F:$F,_xlfn.XLOOKUP(Base_CRM[[#This Row],[Assessor]],[1]DePara!$A:$A,[1]DePara!$D:$D,"Outros",0,1),0,1)</f>
        <v>Raphael Pereira</v>
      </c>
      <c r="R327" s="11" t="str">
        <f>_xlfn.XLOOKUP(Base_CRM[[#This Row],[Cód do Cliente]],'[1]F &amp; O'!$A:$A,'[1]F &amp; O'!D:D,"Sem Finder",0,1)</f>
        <v>Sem Finder</v>
      </c>
      <c r="S327" s="11" t="str">
        <f>_xlfn.XLOOKUP(Base_CRM[[#This Row],[Cód do Cliente]],'[1]F &amp; O'!$A:$A,'[1]F &amp; O'!E:E,"Sem Canal",0,1)</f>
        <v>Sem Canal</v>
      </c>
      <c r="T327" s="11" t="str">
        <f t="shared" si="5"/>
        <v>Cliente XP</v>
      </c>
    </row>
    <row r="328" spans="1:20" x14ac:dyDescent="0.3">
      <c r="A328">
        <v>3084616</v>
      </c>
      <c r="B328" s="8" t="s">
        <v>778</v>
      </c>
      <c r="C328" s="9" t="s">
        <v>39</v>
      </c>
      <c r="D328" s="8">
        <v>2559333.88</v>
      </c>
      <c r="E328">
        <v>2000000</v>
      </c>
      <c r="F328" t="s">
        <v>29</v>
      </c>
      <c r="G328" t="s">
        <v>334</v>
      </c>
      <c r="H328" s="10">
        <v>33757</v>
      </c>
      <c r="I328" s="10" t="s">
        <v>349</v>
      </c>
      <c r="K328" t="s">
        <v>42</v>
      </c>
      <c r="L328" t="s">
        <v>779</v>
      </c>
      <c r="N328" s="11" t="str">
        <f>Base_CRM[[#This Row],[Cidade]]&amp;"/"&amp;Base_CRM[[#This Row],[Estado]]</f>
        <v>São Paulo/</v>
      </c>
      <c r="O328" s="12">
        <f>IFERROR(IF(Base_CRM[[#This Row],[PL Tailor]]&gt;Base_CRM[[#This Row],[PL Declarado]],1,Base_CRM[[#This Row],[PL Tailor]]/Base_CRM[[#This Row],[PL Declarado]]),0)</f>
        <v>1</v>
      </c>
      <c r="P328" s="11" t="str">
        <f>IF(Base_CRM[[#This Row],[Estado Civil]]="","PESSOA JURÍDICA","PESSOA FÍSICA")</f>
        <v>PESSOA FÍSICA</v>
      </c>
      <c r="Q328" t="str">
        <f>_xlfn.XLOOKUP(Base_CRM[[#This Row],[Cód do Cliente]],'[1]F &amp; O'!$A:$A,'[1]F &amp; O'!$F:$F,_xlfn.XLOOKUP(Base_CRM[[#This Row],[Assessor]],[1]DePara!$A:$A,[1]DePara!$D:$D,"Outros",0,1),0,1)</f>
        <v>Gestora</v>
      </c>
      <c r="R328" s="11" t="str">
        <f>_xlfn.XLOOKUP(Base_CRM[[#This Row],[Cód do Cliente]],'[1]F &amp; O'!$A:$A,'[1]F &amp; O'!D:D,"Sem Finder",0,1)</f>
        <v>Pedro Chagas</v>
      </c>
      <c r="S328" s="11" t="str">
        <f>_xlfn.XLOOKUP(Base_CRM[[#This Row],[Cód do Cliente]],'[1]F &amp; O'!$A:$A,'[1]F &amp; O'!E:E,"Sem Canal",0,1)</f>
        <v>Gestora</v>
      </c>
      <c r="T328" s="11" t="str">
        <f t="shared" si="5"/>
        <v>Cliente XP</v>
      </c>
    </row>
    <row r="329" spans="1:20" x14ac:dyDescent="0.3">
      <c r="A329">
        <v>3097872</v>
      </c>
      <c r="B329" s="8" t="s">
        <v>780</v>
      </c>
      <c r="C329" s="9" t="s">
        <v>21</v>
      </c>
      <c r="D329" s="8">
        <v>2436438.25</v>
      </c>
      <c r="E329">
        <v>1400000</v>
      </c>
      <c r="F329" t="s">
        <v>22</v>
      </c>
      <c r="G329" t="s">
        <v>141</v>
      </c>
      <c r="H329" s="10">
        <v>33274</v>
      </c>
      <c r="I329" s="10" t="s">
        <v>781</v>
      </c>
      <c r="K329" t="s">
        <v>25</v>
      </c>
      <c r="L329" t="s">
        <v>782</v>
      </c>
      <c r="M329" t="s">
        <v>783</v>
      </c>
      <c r="N329" s="11" t="str">
        <f>Base_CRM[[#This Row],[Cidade]]&amp;"/"&amp;Base_CRM[[#This Row],[Estado]]</f>
        <v>SANTO ANDRE/</v>
      </c>
      <c r="O329" s="12">
        <f>IFERROR(IF(Base_CRM[[#This Row],[PL Tailor]]&gt;Base_CRM[[#This Row],[PL Declarado]],1,Base_CRM[[#This Row],[PL Tailor]]/Base_CRM[[#This Row],[PL Declarado]]),0)</f>
        <v>1</v>
      </c>
      <c r="P329" s="11" t="str">
        <f>IF(Base_CRM[[#This Row],[Estado Civil]]="","PESSOA JURÍDICA","PESSOA FÍSICA")</f>
        <v>PESSOA FÍSICA</v>
      </c>
      <c r="Q329" t="str">
        <f>_xlfn.XLOOKUP(Base_CRM[[#This Row],[Cód do Cliente]],'[1]F &amp; O'!$A:$A,'[1]F &amp; O'!$F:$F,_xlfn.XLOOKUP(Base_CRM[[#This Row],[Assessor]],[1]DePara!$A:$A,[1]DePara!$D:$D,"Outros",0,1),0,1)</f>
        <v>Leonardo Burle</v>
      </c>
      <c r="R329" s="11" t="str">
        <f>_xlfn.XLOOKUP(Base_CRM[[#This Row],[Cód do Cliente]],'[1]F &amp; O'!$A:$A,'[1]F &amp; O'!D:D,"Sem Finder",0,1)</f>
        <v>Sem Finder</v>
      </c>
      <c r="S329" s="11" t="str">
        <f>_xlfn.XLOOKUP(Base_CRM[[#This Row],[Cód do Cliente]],'[1]F &amp; O'!$A:$A,'[1]F &amp; O'!E:E,"Sem Canal",0,1)</f>
        <v>Sem Canal</v>
      </c>
      <c r="T329" s="11" t="str">
        <f t="shared" si="5"/>
        <v>Cliente XP</v>
      </c>
    </row>
    <row r="330" spans="1:20" x14ac:dyDescent="0.3">
      <c r="A330">
        <v>309902</v>
      </c>
      <c r="B330" s="8" t="s">
        <v>784</v>
      </c>
      <c r="C330" s="9" t="s">
        <v>74</v>
      </c>
      <c r="D330" s="8">
        <v>9891.19</v>
      </c>
      <c r="E330">
        <v>200000</v>
      </c>
      <c r="F330" t="s">
        <v>22</v>
      </c>
      <c r="G330" t="s">
        <v>207</v>
      </c>
      <c r="H330" s="10">
        <v>29277</v>
      </c>
      <c r="I330" s="10" t="s">
        <v>785</v>
      </c>
      <c r="K330" t="s">
        <v>42</v>
      </c>
      <c r="L330" t="s">
        <v>786</v>
      </c>
      <c r="N330" s="11" t="str">
        <f>Base_CRM[[#This Row],[Cidade]]&amp;"/"&amp;Base_CRM[[#This Row],[Estado]]</f>
        <v>SÃO PAULO/</v>
      </c>
      <c r="O330" s="12">
        <f>IFERROR(IF(Base_CRM[[#This Row],[PL Tailor]]&gt;Base_CRM[[#This Row],[PL Declarado]],1,Base_CRM[[#This Row],[PL Tailor]]/Base_CRM[[#This Row],[PL Declarado]]),0)</f>
        <v>4.9455950000000005E-2</v>
      </c>
      <c r="P330" s="11" t="str">
        <f>IF(Base_CRM[[#This Row],[Estado Civil]]="","PESSOA JURÍDICA","PESSOA FÍSICA")</f>
        <v>PESSOA FÍSICA</v>
      </c>
      <c r="Q330" t="str">
        <f>_xlfn.XLOOKUP(Base_CRM[[#This Row],[Cód do Cliente]],'[1]F &amp; O'!$A:$A,'[1]F &amp; O'!$F:$F,_xlfn.XLOOKUP(Base_CRM[[#This Row],[Assessor]],[1]DePara!$A:$A,[1]DePara!$D:$D,"Outros",0,1),0,1)</f>
        <v>Thayane Freitas</v>
      </c>
      <c r="R330" s="11" t="str">
        <f>_xlfn.XLOOKUP(Base_CRM[[#This Row],[Cód do Cliente]],'[1]F &amp; O'!$A:$A,'[1]F &amp; O'!D:D,"Sem Finder",0,1)</f>
        <v>Sem Finder</v>
      </c>
      <c r="S330" s="11" t="str">
        <f>_xlfn.XLOOKUP(Base_CRM[[#This Row],[Cód do Cliente]],'[1]F &amp; O'!$A:$A,'[1]F &amp; O'!E:E,"Sem Canal",0,1)</f>
        <v>Sem Canal</v>
      </c>
      <c r="T330" s="11" t="str">
        <f t="shared" si="5"/>
        <v>Cliente XP</v>
      </c>
    </row>
    <row r="331" spans="1:20" x14ac:dyDescent="0.3">
      <c r="A331">
        <v>3099967</v>
      </c>
      <c r="B331" s="8" t="s">
        <v>787</v>
      </c>
      <c r="C331" s="9" t="s">
        <v>34</v>
      </c>
      <c r="D331" s="8">
        <v>1064476.01</v>
      </c>
      <c r="E331">
        <v>1100000</v>
      </c>
      <c r="F331" t="s">
        <v>22</v>
      </c>
      <c r="G331" t="s">
        <v>35</v>
      </c>
      <c r="H331" s="10">
        <v>20614</v>
      </c>
      <c r="I331" s="10" t="s">
        <v>31</v>
      </c>
      <c r="K331" t="s">
        <v>68</v>
      </c>
      <c r="L331" t="s">
        <v>788</v>
      </c>
      <c r="M331" t="s">
        <v>295</v>
      </c>
      <c r="N331" s="11" t="str">
        <f>Base_CRM[[#This Row],[Cidade]]&amp;"/"&amp;Base_CRM[[#This Row],[Estado]]</f>
        <v>SAO PAULO/</v>
      </c>
      <c r="O331" s="12">
        <f>IFERROR(IF(Base_CRM[[#This Row],[PL Tailor]]&gt;Base_CRM[[#This Row],[PL Declarado]],1,Base_CRM[[#This Row],[PL Tailor]]/Base_CRM[[#This Row],[PL Declarado]]),0)</f>
        <v>0.96770546363636367</v>
      </c>
      <c r="P331" s="11" t="str">
        <f>IF(Base_CRM[[#This Row],[Estado Civil]]="","PESSOA JURÍDICA","PESSOA FÍSICA")</f>
        <v>PESSOA FÍSICA</v>
      </c>
      <c r="Q331" t="str">
        <f>_xlfn.XLOOKUP(Base_CRM[[#This Row],[Cód do Cliente]],'[1]F &amp; O'!$A:$A,'[1]F &amp; O'!$F:$F,_xlfn.XLOOKUP(Base_CRM[[#This Row],[Assessor]],[1]DePara!$A:$A,[1]DePara!$D:$D,"Outros",0,1),0,1)</f>
        <v>Adonias Noronha</v>
      </c>
      <c r="R331" s="11" t="str">
        <f>_xlfn.XLOOKUP(Base_CRM[[#This Row],[Cód do Cliente]],'[1]F &amp; O'!$A:$A,'[1]F &amp; O'!D:D,"Sem Finder",0,1)</f>
        <v>Sem Finder</v>
      </c>
      <c r="S331" s="11" t="str">
        <f>_xlfn.XLOOKUP(Base_CRM[[#This Row],[Cód do Cliente]],'[1]F &amp; O'!$A:$A,'[1]F &amp; O'!E:E,"Sem Canal",0,1)</f>
        <v>Camila Corrêa</v>
      </c>
      <c r="T331" s="11" t="str">
        <f t="shared" si="5"/>
        <v>Cliente XP</v>
      </c>
    </row>
    <row r="332" spans="1:20" x14ac:dyDescent="0.3">
      <c r="A332">
        <v>3112353</v>
      </c>
      <c r="B332" s="8" t="s">
        <v>789</v>
      </c>
      <c r="C332" s="9" t="s">
        <v>39</v>
      </c>
      <c r="D332" s="8">
        <v>224080.63</v>
      </c>
      <c r="E332">
        <v>250000</v>
      </c>
      <c r="F332" t="s">
        <v>29</v>
      </c>
      <c r="G332" t="s">
        <v>96</v>
      </c>
      <c r="H332" s="10">
        <v>34452</v>
      </c>
      <c r="I332" s="10" t="s">
        <v>31</v>
      </c>
      <c r="K332" t="s">
        <v>42</v>
      </c>
      <c r="L332" t="s">
        <v>790</v>
      </c>
      <c r="N332" s="11" t="str">
        <f>Base_CRM[[#This Row],[Cidade]]&amp;"/"&amp;Base_CRM[[#This Row],[Estado]]</f>
        <v>SAO PAULO/</v>
      </c>
      <c r="O332" s="12">
        <f>IFERROR(IF(Base_CRM[[#This Row],[PL Tailor]]&gt;Base_CRM[[#This Row],[PL Declarado]],1,Base_CRM[[#This Row],[PL Tailor]]/Base_CRM[[#This Row],[PL Declarado]]),0)</f>
        <v>0.89632252000000001</v>
      </c>
      <c r="P332" s="11" t="str">
        <f>IF(Base_CRM[[#This Row],[Estado Civil]]="","PESSOA JURÍDICA","PESSOA FÍSICA")</f>
        <v>PESSOA FÍSICA</v>
      </c>
      <c r="Q332" t="str">
        <f>_xlfn.XLOOKUP(Base_CRM[[#This Row],[Cód do Cliente]],'[1]F &amp; O'!$A:$A,'[1]F &amp; O'!$F:$F,_xlfn.XLOOKUP(Base_CRM[[#This Row],[Assessor]],[1]DePara!$A:$A,[1]DePara!$D:$D,"Outros",0,1),0,1)</f>
        <v>Gestora</v>
      </c>
      <c r="R332" s="11" t="str">
        <f>_xlfn.XLOOKUP(Base_CRM[[#This Row],[Cód do Cliente]],'[1]F &amp; O'!$A:$A,'[1]F &amp; O'!D:D,"Sem Finder",0,1)</f>
        <v>Sem Finder</v>
      </c>
      <c r="S332" s="11" t="str">
        <f>_xlfn.XLOOKUP(Base_CRM[[#This Row],[Cód do Cliente]],'[1]F &amp; O'!$A:$A,'[1]F &amp; O'!E:E,"Sem Canal",0,1)</f>
        <v>Gestora</v>
      </c>
      <c r="T332" s="11" t="str">
        <f t="shared" si="5"/>
        <v>Cliente XP</v>
      </c>
    </row>
    <row r="333" spans="1:20" x14ac:dyDescent="0.3">
      <c r="A333">
        <v>314029</v>
      </c>
      <c r="B333" s="8" t="s">
        <v>791</v>
      </c>
      <c r="C333" s="9" t="s">
        <v>74</v>
      </c>
      <c r="D333" s="8">
        <v>182569.16</v>
      </c>
      <c r="E333">
        <v>652586</v>
      </c>
      <c r="F333" t="s">
        <v>22</v>
      </c>
      <c r="G333" t="s">
        <v>67</v>
      </c>
      <c r="H333" s="10">
        <v>14940</v>
      </c>
      <c r="I333" s="10" t="s">
        <v>24</v>
      </c>
      <c r="K333" t="s">
        <v>792</v>
      </c>
      <c r="L333" t="s">
        <v>793</v>
      </c>
      <c r="N333" s="11" t="str">
        <f>Base_CRM[[#This Row],[Cidade]]&amp;"/"&amp;Base_CRM[[#This Row],[Estado]]</f>
        <v>RIO DE JANEIRO/</v>
      </c>
      <c r="O333" s="12">
        <f>IFERROR(IF(Base_CRM[[#This Row],[PL Tailor]]&gt;Base_CRM[[#This Row],[PL Declarado]],1,Base_CRM[[#This Row],[PL Tailor]]/Base_CRM[[#This Row],[PL Declarado]]),0)</f>
        <v>0.27976260600135461</v>
      </c>
      <c r="P333" s="11" t="str">
        <f>IF(Base_CRM[[#This Row],[Estado Civil]]="","PESSOA JURÍDICA","PESSOA FÍSICA")</f>
        <v>PESSOA FÍSICA</v>
      </c>
      <c r="Q333" t="str">
        <f>_xlfn.XLOOKUP(Base_CRM[[#This Row],[Cód do Cliente]],'[1]F &amp; O'!$A:$A,'[1]F &amp; O'!$F:$F,_xlfn.XLOOKUP(Base_CRM[[#This Row],[Assessor]],[1]DePara!$A:$A,[1]DePara!$D:$D,"Outros",0,1),0,1)</f>
        <v>Thayane Freitas</v>
      </c>
      <c r="R333" s="11" t="str">
        <f>_xlfn.XLOOKUP(Base_CRM[[#This Row],[Cód do Cliente]],'[1]F &amp; O'!$A:$A,'[1]F &amp; O'!D:D,"Sem Finder",0,1)</f>
        <v>Sem Finder</v>
      </c>
      <c r="S333" s="11" t="str">
        <f>_xlfn.XLOOKUP(Base_CRM[[#This Row],[Cód do Cliente]],'[1]F &amp; O'!$A:$A,'[1]F &amp; O'!E:E,"Sem Canal",0,1)</f>
        <v>Sem Canal</v>
      </c>
      <c r="T333" s="11" t="str">
        <f t="shared" si="5"/>
        <v>Cliente XP</v>
      </c>
    </row>
    <row r="334" spans="1:20" x14ac:dyDescent="0.3">
      <c r="A334">
        <v>3180572</v>
      </c>
      <c r="B334" s="8" t="s">
        <v>794</v>
      </c>
      <c r="C334" s="9" t="s">
        <v>74</v>
      </c>
      <c r="D334" s="8">
        <v>33878</v>
      </c>
      <c r="E334">
        <v>1000000</v>
      </c>
      <c r="F334" t="s">
        <v>22</v>
      </c>
      <c r="G334" t="s">
        <v>177</v>
      </c>
      <c r="H334" s="10">
        <v>36777</v>
      </c>
      <c r="I334" s="10" t="s">
        <v>795</v>
      </c>
      <c r="K334" t="s">
        <v>25</v>
      </c>
      <c r="L334" t="s">
        <v>796</v>
      </c>
      <c r="N334" s="11" t="str">
        <f>Base_CRM[[#This Row],[Cidade]]&amp;"/"&amp;Base_CRM[[#This Row],[Estado]]</f>
        <v>IGUARACU/</v>
      </c>
      <c r="O334" s="12">
        <f>IFERROR(IF(Base_CRM[[#This Row],[PL Tailor]]&gt;Base_CRM[[#This Row],[PL Declarado]],1,Base_CRM[[#This Row],[PL Tailor]]/Base_CRM[[#This Row],[PL Declarado]]),0)</f>
        <v>3.3877999999999998E-2</v>
      </c>
      <c r="P334" s="11" t="str">
        <f>IF(Base_CRM[[#This Row],[Estado Civil]]="","PESSOA JURÍDICA","PESSOA FÍSICA")</f>
        <v>PESSOA FÍSICA</v>
      </c>
      <c r="Q334" t="str">
        <f>_xlfn.XLOOKUP(Base_CRM[[#This Row],[Cód do Cliente]],'[1]F &amp; O'!$A:$A,'[1]F &amp; O'!$F:$F,_xlfn.XLOOKUP(Base_CRM[[#This Row],[Assessor]],[1]DePara!$A:$A,[1]DePara!$D:$D,"Outros",0,1),0,1)</f>
        <v>Thayane Freitas</v>
      </c>
      <c r="R334" s="11" t="str">
        <f>_xlfn.XLOOKUP(Base_CRM[[#This Row],[Cód do Cliente]],'[1]F &amp; O'!$A:$A,'[1]F &amp; O'!D:D,"Sem Finder",0,1)</f>
        <v>Sem Finder</v>
      </c>
      <c r="S334" s="11" t="str">
        <f>_xlfn.XLOOKUP(Base_CRM[[#This Row],[Cód do Cliente]],'[1]F &amp; O'!$A:$A,'[1]F &amp; O'!E:E,"Sem Canal",0,1)</f>
        <v>Sem Canal</v>
      </c>
      <c r="T334" s="11" t="str">
        <f t="shared" si="5"/>
        <v>Cliente XP</v>
      </c>
    </row>
    <row r="335" spans="1:20" x14ac:dyDescent="0.3">
      <c r="A335">
        <v>3197965</v>
      </c>
      <c r="B335" s="8" t="s">
        <v>797</v>
      </c>
      <c r="C335" s="9" t="s">
        <v>74</v>
      </c>
      <c r="D335" s="8">
        <v>0</v>
      </c>
      <c r="E335">
        <v>2500</v>
      </c>
      <c r="F335" t="s">
        <v>92</v>
      </c>
      <c r="G335" t="s">
        <v>67</v>
      </c>
      <c r="H335" s="10">
        <v>20377</v>
      </c>
      <c r="I335" s="10" t="s">
        <v>24</v>
      </c>
      <c r="K335" t="s">
        <v>42</v>
      </c>
      <c r="L335" t="s">
        <v>798</v>
      </c>
      <c r="N335" s="11" t="str">
        <f>Base_CRM[[#This Row],[Cidade]]&amp;"/"&amp;Base_CRM[[#This Row],[Estado]]</f>
        <v>RIO DE JANEIRO/</v>
      </c>
      <c r="O335" s="12">
        <f>IFERROR(IF(Base_CRM[[#This Row],[PL Tailor]]&gt;Base_CRM[[#This Row],[PL Declarado]],1,Base_CRM[[#This Row],[PL Tailor]]/Base_CRM[[#This Row],[PL Declarado]]),0)</f>
        <v>0</v>
      </c>
      <c r="P335" s="11" t="str">
        <f>IF(Base_CRM[[#This Row],[Estado Civil]]="","PESSOA JURÍDICA","PESSOA FÍSICA")</f>
        <v>PESSOA FÍSICA</v>
      </c>
      <c r="Q335" t="str">
        <f>_xlfn.XLOOKUP(Base_CRM[[#This Row],[Cód do Cliente]],'[1]F &amp; O'!$A:$A,'[1]F &amp; O'!$F:$F,_xlfn.XLOOKUP(Base_CRM[[#This Row],[Assessor]],[1]DePara!$A:$A,[1]DePara!$D:$D,"Outros",0,1),0,1)</f>
        <v>Thayane Freitas</v>
      </c>
      <c r="R335" s="11" t="str">
        <f>_xlfn.XLOOKUP(Base_CRM[[#This Row],[Cód do Cliente]],'[1]F &amp; O'!$A:$A,'[1]F &amp; O'!D:D,"Sem Finder",0,1)</f>
        <v>Sem Finder</v>
      </c>
      <c r="S335" s="11" t="str">
        <f>_xlfn.XLOOKUP(Base_CRM[[#This Row],[Cód do Cliente]],'[1]F &amp; O'!$A:$A,'[1]F &amp; O'!E:E,"Sem Canal",0,1)</f>
        <v>Sem Canal</v>
      </c>
      <c r="T335" s="11" t="str">
        <f t="shared" si="5"/>
        <v>Cliente XP</v>
      </c>
    </row>
    <row r="336" spans="1:20" x14ac:dyDescent="0.3">
      <c r="A336">
        <v>3198622</v>
      </c>
      <c r="B336" s="8" t="s">
        <v>799</v>
      </c>
      <c r="C336" s="9" t="s">
        <v>39</v>
      </c>
      <c r="D336" s="8">
        <v>18.059999999999999</v>
      </c>
      <c r="E336">
        <v>30000</v>
      </c>
      <c r="F336" t="s">
        <v>22</v>
      </c>
      <c r="G336" t="s">
        <v>87</v>
      </c>
      <c r="H336" s="10">
        <v>26867</v>
      </c>
      <c r="I336" s="10" t="s">
        <v>285</v>
      </c>
      <c r="K336" t="s">
        <v>42</v>
      </c>
      <c r="L336" t="s">
        <v>800</v>
      </c>
      <c r="N336" s="11" t="str">
        <f>Base_CRM[[#This Row],[Cidade]]&amp;"/"&amp;Base_CRM[[#This Row],[Estado]]</f>
        <v>SANTANA DE PARNAIBA/</v>
      </c>
      <c r="O336" s="12">
        <f>IFERROR(IF(Base_CRM[[#This Row],[PL Tailor]]&gt;Base_CRM[[#This Row],[PL Declarado]],1,Base_CRM[[#This Row],[PL Tailor]]/Base_CRM[[#This Row],[PL Declarado]]),0)</f>
        <v>6.02E-4</v>
      </c>
      <c r="P336" s="11" t="str">
        <f>IF(Base_CRM[[#This Row],[Estado Civil]]="","PESSOA JURÍDICA","PESSOA FÍSICA")</f>
        <v>PESSOA FÍSICA</v>
      </c>
      <c r="Q336" t="str">
        <f>_xlfn.XLOOKUP(Base_CRM[[#This Row],[Cód do Cliente]],'[1]F &amp; O'!$A:$A,'[1]F &amp; O'!$F:$F,_xlfn.XLOOKUP(Base_CRM[[#This Row],[Assessor]],[1]DePara!$A:$A,[1]DePara!$D:$D,"Outros",0,1),0,1)</f>
        <v>Vinicius Bendela</v>
      </c>
      <c r="R336" s="11" t="str">
        <f>_xlfn.XLOOKUP(Base_CRM[[#This Row],[Cód do Cliente]],'[1]F &amp; O'!$A:$A,'[1]F &amp; O'!D:D,"Sem Finder",0,1)</f>
        <v>Sem Finder</v>
      </c>
      <c r="S336" s="11" t="str">
        <f>_xlfn.XLOOKUP(Base_CRM[[#This Row],[Cód do Cliente]],'[1]F &amp; O'!$A:$A,'[1]F &amp; O'!E:E,"Sem Canal",0,1)</f>
        <v>Sem Canal</v>
      </c>
      <c r="T336" s="11" t="str">
        <f t="shared" si="5"/>
        <v>Cliente XP</v>
      </c>
    </row>
    <row r="337" spans="1:20" x14ac:dyDescent="0.3">
      <c r="A337">
        <v>320170</v>
      </c>
      <c r="B337" s="8" t="s">
        <v>801</v>
      </c>
      <c r="C337" s="9" t="s">
        <v>39</v>
      </c>
      <c r="D337" s="8">
        <v>398518.18</v>
      </c>
      <c r="E337">
        <v>400000</v>
      </c>
      <c r="F337" t="s">
        <v>22</v>
      </c>
      <c r="G337" t="s">
        <v>67</v>
      </c>
      <c r="H337" s="10">
        <v>31482</v>
      </c>
      <c r="I337" s="10" t="s">
        <v>781</v>
      </c>
      <c r="K337" t="s">
        <v>42</v>
      </c>
      <c r="L337" t="s">
        <v>802</v>
      </c>
      <c r="N337" s="11" t="str">
        <f>Base_CRM[[#This Row],[Cidade]]&amp;"/"&amp;Base_CRM[[#This Row],[Estado]]</f>
        <v>SANTO ANDRE/</v>
      </c>
      <c r="O337" s="12">
        <f>IFERROR(IF(Base_CRM[[#This Row],[PL Tailor]]&gt;Base_CRM[[#This Row],[PL Declarado]],1,Base_CRM[[#This Row],[PL Tailor]]/Base_CRM[[#This Row],[PL Declarado]]),0)</f>
        <v>0.99629544999999997</v>
      </c>
      <c r="P337" s="11" t="str">
        <f>IF(Base_CRM[[#This Row],[Estado Civil]]="","PESSOA JURÍDICA","PESSOA FÍSICA")</f>
        <v>PESSOA FÍSICA</v>
      </c>
      <c r="Q337" t="str">
        <f>_xlfn.XLOOKUP(Base_CRM[[#This Row],[Cód do Cliente]],'[1]F &amp; O'!$A:$A,'[1]F &amp; O'!$F:$F,_xlfn.XLOOKUP(Base_CRM[[#This Row],[Assessor]],[1]DePara!$A:$A,[1]DePara!$D:$D,"Outros",0,1),0,1)</f>
        <v>Gestora</v>
      </c>
      <c r="R337" s="11" t="str">
        <f>_xlfn.XLOOKUP(Base_CRM[[#This Row],[Cód do Cliente]],'[1]F &amp; O'!$A:$A,'[1]F &amp; O'!D:D,"Sem Finder",0,1)</f>
        <v>José De Marchi</v>
      </c>
      <c r="S337" s="11" t="str">
        <f>_xlfn.XLOOKUP(Base_CRM[[#This Row],[Cód do Cliente]],'[1]F &amp; O'!$A:$A,'[1]F &amp; O'!E:E,"Sem Canal",0,1)</f>
        <v>Gestora</v>
      </c>
      <c r="T337" s="11" t="str">
        <f t="shared" si="5"/>
        <v>Cliente XP</v>
      </c>
    </row>
    <row r="338" spans="1:20" x14ac:dyDescent="0.3">
      <c r="A338">
        <v>3209399</v>
      </c>
      <c r="B338" s="8" t="s">
        <v>803</v>
      </c>
      <c r="C338" s="9" t="s">
        <v>39</v>
      </c>
      <c r="D338" s="8">
        <v>256580.97</v>
      </c>
      <c r="E338">
        <v>1000000</v>
      </c>
      <c r="F338" t="s">
        <v>29</v>
      </c>
      <c r="G338" t="s">
        <v>71</v>
      </c>
      <c r="H338" s="10">
        <v>32944</v>
      </c>
      <c r="I338" s="10" t="s">
        <v>31</v>
      </c>
      <c r="K338" t="s">
        <v>25</v>
      </c>
      <c r="L338" t="s">
        <v>804</v>
      </c>
      <c r="N338" s="11" t="str">
        <f>Base_CRM[[#This Row],[Cidade]]&amp;"/"&amp;Base_CRM[[#This Row],[Estado]]</f>
        <v>SAO PAULO/</v>
      </c>
      <c r="O338" s="12">
        <f>IFERROR(IF(Base_CRM[[#This Row],[PL Tailor]]&gt;Base_CRM[[#This Row],[PL Declarado]],1,Base_CRM[[#This Row],[PL Tailor]]/Base_CRM[[#This Row],[PL Declarado]]),0)</f>
        <v>0.25658097000000002</v>
      </c>
      <c r="P338" s="11" t="str">
        <f>IF(Base_CRM[[#This Row],[Estado Civil]]="","PESSOA JURÍDICA","PESSOA FÍSICA")</f>
        <v>PESSOA FÍSICA</v>
      </c>
      <c r="Q338" t="str">
        <f>_xlfn.XLOOKUP(Base_CRM[[#This Row],[Cód do Cliente]],'[1]F &amp; O'!$A:$A,'[1]F &amp; O'!$F:$F,_xlfn.XLOOKUP(Base_CRM[[#This Row],[Assessor]],[1]DePara!$A:$A,[1]DePara!$D:$D,"Outros",0,1),0,1)</f>
        <v>Gestora</v>
      </c>
      <c r="R338" s="11" t="str">
        <f>_xlfn.XLOOKUP(Base_CRM[[#This Row],[Cód do Cliente]],'[1]F &amp; O'!$A:$A,'[1]F &amp; O'!D:D,"Sem Finder",0,1)</f>
        <v>Sem Finder</v>
      </c>
      <c r="S338" s="11" t="str">
        <f>_xlfn.XLOOKUP(Base_CRM[[#This Row],[Cód do Cliente]],'[1]F &amp; O'!$A:$A,'[1]F &amp; O'!E:E,"Sem Canal",0,1)</f>
        <v>Gestora</v>
      </c>
      <c r="T338" s="11" t="str">
        <f t="shared" si="5"/>
        <v>Cliente XP</v>
      </c>
    </row>
    <row r="339" spans="1:20" x14ac:dyDescent="0.3">
      <c r="A339">
        <v>3220882</v>
      </c>
      <c r="B339" s="8" t="s">
        <v>805</v>
      </c>
      <c r="C339" s="9" t="s">
        <v>48</v>
      </c>
      <c r="D339" s="8">
        <v>1520792.24</v>
      </c>
      <c r="E339">
        <v>2000000</v>
      </c>
      <c r="F339" t="s">
        <v>22</v>
      </c>
      <c r="G339" t="s">
        <v>181</v>
      </c>
      <c r="H339" s="10">
        <v>24416</v>
      </c>
      <c r="I339" s="10" t="s">
        <v>349</v>
      </c>
      <c r="K339" t="s">
        <v>42</v>
      </c>
      <c r="L339" t="s">
        <v>806</v>
      </c>
      <c r="N339" s="11" t="str">
        <f>Base_CRM[[#This Row],[Cidade]]&amp;"/"&amp;Base_CRM[[#This Row],[Estado]]</f>
        <v>São Paulo/</v>
      </c>
      <c r="O339" s="12">
        <f>IFERROR(IF(Base_CRM[[#This Row],[PL Tailor]]&gt;Base_CRM[[#This Row],[PL Declarado]],1,Base_CRM[[#This Row],[PL Tailor]]/Base_CRM[[#This Row],[PL Declarado]]),0)</f>
        <v>0.76039612000000001</v>
      </c>
      <c r="P339" s="11" t="str">
        <f>IF(Base_CRM[[#This Row],[Estado Civil]]="","PESSOA JURÍDICA","PESSOA FÍSICA")</f>
        <v>PESSOA FÍSICA</v>
      </c>
      <c r="Q339" t="str">
        <f>_xlfn.XLOOKUP(Base_CRM[[#This Row],[Cód do Cliente]],'[1]F &amp; O'!$A:$A,'[1]F &amp; O'!$F:$F,_xlfn.XLOOKUP(Base_CRM[[#This Row],[Assessor]],[1]DePara!$A:$A,[1]DePara!$D:$D,"Outros",0,1),0,1)</f>
        <v>Raphael Farias</v>
      </c>
      <c r="R339" s="11" t="str">
        <f>_xlfn.XLOOKUP(Base_CRM[[#This Row],[Cód do Cliente]],'[1]F &amp; O'!$A:$A,'[1]F &amp; O'!D:D,"Sem Finder",0,1)</f>
        <v>Sem Finder</v>
      </c>
      <c r="S339" s="11" t="str">
        <f>_xlfn.XLOOKUP(Base_CRM[[#This Row],[Cód do Cliente]],'[1]F &amp; O'!$A:$A,'[1]F &amp; O'!E:E,"Sem Canal",0,1)</f>
        <v>Sem Canal</v>
      </c>
      <c r="T339" s="11" t="str">
        <f t="shared" si="5"/>
        <v>Cliente XP</v>
      </c>
    </row>
    <row r="340" spans="1:20" x14ac:dyDescent="0.3">
      <c r="A340">
        <v>32241</v>
      </c>
      <c r="B340" s="8" t="s">
        <v>807</v>
      </c>
      <c r="C340" s="9" t="s">
        <v>21</v>
      </c>
      <c r="D340" s="8">
        <v>439369.89</v>
      </c>
      <c r="E340">
        <v>200000</v>
      </c>
      <c r="F340" t="s">
        <v>22</v>
      </c>
      <c r="G340" t="s">
        <v>35</v>
      </c>
      <c r="H340" s="10">
        <v>22102</v>
      </c>
      <c r="I340" s="10" t="s">
        <v>62</v>
      </c>
      <c r="K340" t="s">
        <v>68</v>
      </c>
      <c r="L340" t="s">
        <v>808</v>
      </c>
      <c r="M340" t="s">
        <v>64</v>
      </c>
      <c r="N340" s="11" t="str">
        <f>Base_CRM[[#This Row],[Cidade]]&amp;"/"&amp;Base_CRM[[#This Row],[Estado]]</f>
        <v>Rio de Janeiro/</v>
      </c>
      <c r="O340" s="12">
        <f>IFERROR(IF(Base_CRM[[#This Row],[PL Tailor]]&gt;Base_CRM[[#This Row],[PL Declarado]],1,Base_CRM[[#This Row],[PL Tailor]]/Base_CRM[[#This Row],[PL Declarado]]),0)</f>
        <v>1</v>
      </c>
      <c r="P340" s="11" t="str">
        <f>IF(Base_CRM[[#This Row],[Estado Civil]]="","PESSOA JURÍDICA","PESSOA FÍSICA")</f>
        <v>PESSOA FÍSICA</v>
      </c>
      <c r="Q340" t="str">
        <f>_xlfn.XLOOKUP(Base_CRM[[#This Row],[Cód do Cliente]],'[1]F &amp; O'!$A:$A,'[1]F &amp; O'!$F:$F,_xlfn.XLOOKUP(Base_CRM[[#This Row],[Assessor]],[1]DePara!$A:$A,[1]DePara!$D:$D,"Outros",0,1),0,1)</f>
        <v>Leonardo Burle</v>
      </c>
      <c r="R340" s="11" t="str">
        <f>_xlfn.XLOOKUP(Base_CRM[[#This Row],[Cód do Cliente]],'[1]F &amp; O'!$A:$A,'[1]F &amp; O'!D:D,"Sem Finder",0,1)</f>
        <v>Sem Finder</v>
      </c>
      <c r="S340" s="11" t="str">
        <f>_xlfn.XLOOKUP(Base_CRM[[#This Row],[Cód do Cliente]],'[1]F &amp; O'!$A:$A,'[1]F &amp; O'!E:E,"Sem Canal",0,1)</f>
        <v>Sem Canal</v>
      </c>
      <c r="T340" s="11" t="str">
        <f t="shared" si="5"/>
        <v>Cliente XP</v>
      </c>
    </row>
    <row r="341" spans="1:20" x14ac:dyDescent="0.3">
      <c r="A341">
        <v>3238169</v>
      </c>
      <c r="B341" s="8" t="s">
        <v>809</v>
      </c>
      <c r="C341" s="9" t="s">
        <v>74</v>
      </c>
      <c r="D341" s="8">
        <v>22212.799999999999</v>
      </c>
      <c r="E341">
        <v>1000000</v>
      </c>
      <c r="F341" t="s">
        <v>22</v>
      </c>
      <c r="G341" t="s">
        <v>67</v>
      </c>
      <c r="H341" s="10">
        <v>34904</v>
      </c>
      <c r="I341" s="10" t="s">
        <v>24</v>
      </c>
      <c r="K341" t="s">
        <v>25</v>
      </c>
      <c r="L341" t="s">
        <v>810</v>
      </c>
      <c r="N341" s="11" t="str">
        <f>Base_CRM[[#This Row],[Cidade]]&amp;"/"&amp;Base_CRM[[#This Row],[Estado]]</f>
        <v>RIO DE JANEIRO/</v>
      </c>
      <c r="O341" s="12">
        <f>IFERROR(IF(Base_CRM[[#This Row],[PL Tailor]]&gt;Base_CRM[[#This Row],[PL Declarado]],1,Base_CRM[[#This Row],[PL Tailor]]/Base_CRM[[#This Row],[PL Declarado]]),0)</f>
        <v>2.2212799999999998E-2</v>
      </c>
      <c r="P341" s="11" t="str">
        <f>IF(Base_CRM[[#This Row],[Estado Civil]]="","PESSOA JURÍDICA","PESSOA FÍSICA")</f>
        <v>PESSOA FÍSICA</v>
      </c>
      <c r="Q341" t="str">
        <f>_xlfn.XLOOKUP(Base_CRM[[#This Row],[Cód do Cliente]],'[1]F &amp; O'!$A:$A,'[1]F &amp; O'!$F:$F,_xlfn.XLOOKUP(Base_CRM[[#This Row],[Assessor]],[1]DePara!$A:$A,[1]DePara!$D:$D,"Outros",0,1),0,1)</f>
        <v>Thayane Freitas</v>
      </c>
      <c r="R341" s="11" t="str">
        <f>_xlfn.XLOOKUP(Base_CRM[[#This Row],[Cód do Cliente]],'[1]F &amp; O'!$A:$A,'[1]F &amp; O'!D:D,"Sem Finder",0,1)</f>
        <v>Sem Finder</v>
      </c>
      <c r="S341" s="11" t="str">
        <f>_xlfn.XLOOKUP(Base_CRM[[#This Row],[Cód do Cliente]],'[1]F &amp; O'!$A:$A,'[1]F &amp; O'!E:E,"Sem Canal",0,1)</f>
        <v>Sem Canal</v>
      </c>
      <c r="T341" s="11" t="str">
        <f t="shared" si="5"/>
        <v>Cliente XP</v>
      </c>
    </row>
    <row r="342" spans="1:20" x14ac:dyDescent="0.3">
      <c r="A342">
        <v>324468</v>
      </c>
      <c r="B342" s="8" t="s">
        <v>811</v>
      </c>
      <c r="C342" s="9" t="s">
        <v>34</v>
      </c>
      <c r="D342" s="8">
        <v>359580.82</v>
      </c>
      <c r="E342">
        <v>1000000</v>
      </c>
      <c r="F342" t="s">
        <v>22</v>
      </c>
      <c r="G342" t="s">
        <v>23</v>
      </c>
      <c r="H342" s="10">
        <v>29642</v>
      </c>
      <c r="I342" s="10" t="s">
        <v>31</v>
      </c>
      <c r="K342" t="s">
        <v>42</v>
      </c>
      <c r="L342" t="s">
        <v>812</v>
      </c>
      <c r="N342" s="11" t="str">
        <f>Base_CRM[[#This Row],[Cidade]]&amp;"/"&amp;Base_CRM[[#This Row],[Estado]]</f>
        <v>SAO PAULO/</v>
      </c>
      <c r="O342" s="12">
        <f>IFERROR(IF(Base_CRM[[#This Row],[PL Tailor]]&gt;Base_CRM[[#This Row],[PL Declarado]],1,Base_CRM[[#This Row],[PL Tailor]]/Base_CRM[[#This Row],[PL Declarado]]),0)</f>
        <v>0.35958082000000002</v>
      </c>
      <c r="P342" s="11" t="str">
        <f>IF(Base_CRM[[#This Row],[Estado Civil]]="","PESSOA JURÍDICA","PESSOA FÍSICA")</f>
        <v>PESSOA FÍSICA</v>
      </c>
      <c r="Q342" t="str">
        <f>_xlfn.XLOOKUP(Base_CRM[[#This Row],[Cód do Cliente]],'[1]F &amp; O'!$A:$A,'[1]F &amp; O'!$F:$F,_xlfn.XLOOKUP(Base_CRM[[#This Row],[Assessor]],[1]DePara!$A:$A,[1]DePara!$D:$D,"Outros",0,1),0,1)</f>
        <v>Adonias Noronha</v>
      </c>
      <c r="R342" s="11" t="str">
        <f>_xlfn.XLOOKUP(Base_CRM[[#This Row],[Cód do Cliente]],'[1]F &amp; O'!$A:$A,'[1]F &amp; O'!D:D,"Sem Finder",0,1)</f>
        <v>Sem Finder</v>
      </c>
      <c r="S342" s="11" t="str">
        <f>_xlfn.XLOOKUP(Base_CRM[[#This Row],[Cód do Cliente]],'[1]F &amp; O'!$A:$A,'[1]F &amp; O'!E:E,"Sem Canal",0,1)</f>
        <v>Sem Canal</v>
      </c>
      <c r="T342" s="11" t="str">
        <f t="shared" si="5"/>
        <v>Cliente XP</v>
      </c>
    </row>
    <row r="343" spans="1:20" x14ac:dyDescent="0.3">
      <c r="A343">
        <v>3249529</v>
      </c>
      <c r="B343" s="8" t="s">
        <v>813</v>
      </c>
      <c r="C343" s="9" t="s">
        <v>39</v>
      </c>
      <c r="D343" s="8">
        <v>148945.19</v>
      </c>
      <c r="E343">
        <v>800000</v>
      </c>
      <c r="F343" t="s">
        <v>29</v>
      </c>
      <c r="G343" t="s">
        <v>87</v>
      </c>
      <c r="H343" s="10">
        <v>33514</v>
      </c>
      <c r="I343" s="10" t="s">
        <v>31</v>
      </c>
      <c r="K343" t="s">
        <v>25</v>
      </c>
      <c r="L343" t="s">
        <v>814</v>
      </c>
      <c r="N343" s="11" t="str">
        <f>Base_CRM[[#This Row],[Cidade]]&amp;"/"&amp;Base_CRM[[#This Row],[Estado]]</f>
        <v>SAO PAULO/</v>
      </c>
      <c r="O343" s="12">
        <f>IFERROR(IF(Base_CRM[[#This Row],[PL Tailor]]&gt;Base_CRM[[#This Row],[PL Declarado]],1,Base_CRM[[#This Row],[PL Tailor]]/Base_CRM[[#This Row],[PL Declarado]]),0)</f>
        <v>0.18618148749999999</v>
      </c>
      <c r="P343" s="11" t="str">
        <f>IF(Base_CRM[[#This Row],[Estado Civil]]="","PESSOA JURÍDICA","PESSOA FÍSICA")</f>
        <v>PESSOA FÍSICA</v>
      </c>
      <c r="Q343" t="str">
        <f>_xlfn.XLOOKUP(Base_CRM[[#This Row],[Cód do Cliente]],'[1]F &amp; O'!$A:$A,'[1]F &amp; O'!$F:$F,_xlfn.XLOOKUP(Base_CRM[[#This Row],[Assessor]],[1]DePara!$A:$A,[1]DePara!$D:$D,"Outros",0,1),0,1)</f>
        <v>Gestora</v>
      </c>
      <c r="R343" s="11" t="str">
        <f>_xlfn.XLOOKUP(Base_CRM[[#This Row],[Cód do Cliente]],'[1]F &amp; O'!$A:$A,'[1]F &amp; O'!D:D,"Sem Finder",0,1)</f>
        <v>Pedro Chagas</v>
      </c>
      <c r="S343" s="11" t="str">
        <f>_xlfn.XLOOKUP(Base_CRM[[#This Row],[Cód do Cliente]],'[1]F &amp; O'!$A:$A,'[1]F &amp; O'!E:E,"Sem Canal",0,1)</f>
        <v>Gestora</v>
      </c>
      <c r="T343" s="11" t="str">
        <f t="shared" si="5"/>
        <v>Cliente XP</v>
      </c>
    </row>
    <row r="344" spans="1:20" x14ac:dyDescent="0.3">
      <c r="A344">
        <v>3270801</v>
      </c>
      <c r="B344" s="8" t="s">
        <v>815</v>
      </c>
      <c r="C344" s="9" t="s">
        <v>74</v>
      </c>
      <c r="D344" s="8">
        <v>62822.23</v>
      </c>
      <c r="E344">
        <v>140000</v>
      </c>
      <c r="F344" t="s">
        <v>22</v>
      </c>
      <c r="G344" t="s">
        <v>177</v>
      </c>
      <c r="H344" s="10">
        <v>29396</v>
      </c>
      <c r="I344" s="10" t="s">
        <v>816</v>
      </c>
      <c r="K344" t="s">
        <v>25</v>
      </c>
      <c r="L344" t="s">
        <v>817</v>
      </c>
      <c r="N344" s="11" t="str">
        <f>Base_CRM[[#This Row],[Cidade]]&amp;"/"&amp;Base_CRM[[#This Row],[Estado]]</f>
        <v>BLUMENAU/</v>
      </c>
      <c r="O344" s="12">
        <f>IFERROR(IF(Base_CRM[[#This Row],[PL Tailor]]&gt;Base_CRM[[#This Row],[PL Declarado]],1,Base_CRM[[#This Row],[PL Tailor]]/Base_CRM[[#This Row],[PL Declarado]]),0)</f>
        <v>0.4487302142857143</v>
      </c>
      <c r="P344" s="11" t="str">
        <f>IF(Base_CRM[[#This Row],[Estado Civil]]="","PESSOA JURÍDICA","PESSOA FÍSICA")</f>
        <v>PESSOA FÍSICA</v>
      </c>
      <c r="Q344" t="str">
        <f>_xlfn.XLOOKUP(Base_CRM[[#This Row],[Cód do Cliente]],'[1]F &amp; O'!$A:$A,'[1]F &amp; O'!$F:$F,_xlfn.XLOOKUP(Base_CRM[[#This Row],[Assessor]],[1]DePara!$A:$A,[1]DePara!$D:$D,"Outros",0,1),0,1)</f>
        <v>Thayane Freitas</v>
      </c>
      <c r="R344" s="11" t="str">
        <f>_xlfn.XLOOKUP(Base_CRM[[#This Row],[Cód do Cliente]],'[1]F &amp; O'!$A:$A,'[1]F &amp; O'!D:D,"Sem Finder",0,1)</f>
        <v>Sem Finder</v>
      </c>
      <c r="S344" s="11" t="str">
        <f>_xlfn.XLOOKUP(Base_CRM[[#This Row],[Cód do Cliente]],'[1]F &amp; O'!$A:$A,'[1]F &amp; O'!E:E,"Sem Canal",0,1)</f>
        <v>Sem Canal</v>
      </c>
      <c r="T344" s="11" t="str">
        <f t="shared" si="5"/>
        <v>Cliente XP</v>
      </c>
    </row>
    <row r="345" spans="1:20" x14ac:dyDescent="0.3">
      <c r="A345">
        <v>327527</v>
      </c>
      <c r="B345" s="8" t="s">
        <v>818</v>
      </c>
      <c r="C345" s="9" t="s">
        <v>48</v>
      </c>
      <c r="D345" s="8">
        <v>50</v>
      </c>
      <c r="E345">
        <v>1000000</v>
      </c>
      <c r="F345" t="s">
        <v>22</v>
      </c>
      <c r="G345" t="s">
        <v>87</v>
      </c>
      <c r="H345" s="10">
        <v>32405</v>
      </c>
      <c r="I345" s="10" t="s">
        <v>819</v>
      </c>
      <c r="K345" t="s">
        <v>25</v>
      </c>
      <c r="L345" t="s">
        <v>820</v>
      </c>
      <c r="N345" s="11" t="str">
        <f>Base_CRM[[#This Row],[Cidade]]&amp;"/"&amp;Base_CRM[[#This Row],[Estado]]</f>
        <v>Santana de Parnaíba/</v>
      </c>
      <c r="O345" s="12">
        <f>IFERROR(IF(Base_CRM[[#This Row],[PL Tailor]]&gt;Base_CRM[[#This Row],[PL Declarado]],1,Base_CRM[[#This Row],[PL Tailor]]/Base_CRM[[#This Row],[PL Declarado]]),0)</f>
        <v>5.0000000000000002E-5</v>
      </c>
      <c r="P345" s="11" t="str">
        <f>IF(Base_CRM[[#This Row],[Estado Civil]]="","PESSOA JURÍDICA","PESSOA FÍSICA")</f>
        <v>PESSOA FÍSICA</v>
      </c>
      <c r="Q345" t="str">
        <f>_xlfn.XLOOKUP(Base_CRM[[#This Row],[Cód do Cliente]],'[1]F &amp; O'!$A:$A,'[1]F &amp; O'!$F:$F,_xlfn.XLOOKUP(Base_CRM[[#This Row],[Assessor]],[1]DePara!$A:$A,[1]DePara!$D:$D,"Outros",0,1),0,1)</f>
        <v>Raphael Farias</v>
      </c>
      <c r="R345" s="11" t="str">
        <f>_xlfn.XLOOKUP(Base_CRM[[#This Row],[Cód do Cliente]],'[1]F &amp; O'!$A:$A,'[1]F &amp; O'!D:D,"Sem Finder",0,1)</f>
        <v>José De Marchi</v>
      </c>
      <c r="S345" s="11" t="str">
        <f>_xlfn.XLOOKUP(Base_CRM[[#This Row],[Cód do Cliente]],'[1]F &amp; O'!$A:$A,'[1]F &amp; O'!E:E,"Sem Canal",0,1)</f>
        <v>Sem Canal</v>
      </c>
      <c r="T345" s="11" t="str">
        <f t="shared" si="5"/>
        <v>Cliente XP</v>
      </c>
    </row>
    <row r="346" spans="1:20" x14ac:dyDescent="0.3">
      <c r="A346">
        <v>3290994</v>
      </c>
      <c r="B346" s="8" t="s">
        <v>821</v>
      </c>
      <c r="C346" s="9" t="s">
        <v>74</v>
      </c>
      <c r="D346" s="8">
        <v>141080.14000000001</v>
      </c>
      <c r="E346">
        <v>100000</v>
      </c>
      <c r="F346" t="s">
        <v>22</v>
      </c>
      <c r="G346" t="s">
        <v>23</v>
      </c>
      <c r="H346" s="10">
        <v>34446</v>
      </c>
      <c r="I346" s="10" t="s">
        <v>822</v>
      </c>
      <c r="K346" t="s">
        <v>42</v>
      </c>
      <c r="L346" t="s">
        <v>823</v>
      </c>
      <c r="M346" t="s">
        <v>90</v>
      </c>
      <c r="N346" s="11" t="str">
        <f>Base_CRM[[#This Row],[Cidade]]&amp;"/"&amp;Base_CRM[[#This Row],[Estado]]</f>
        <v>Mogi das Cruzes/</v>
      </c>
      <c r="O346" s="12">
        <f>IFERROR(IF(Base_CRM[[#This Row],[PL Tailor]]&gt;Base_CRM[[#This Row],[PL Declarado]],1,Base_CRM[[#This Row],[PL Tailor]]/Base_CRM[[#This Row],[PL Declarado]]),0)</f>
        <v>1</v>
      </c>
      <c r="P346" s="11" t="str">
        <f>IF(Base_CRM[[#This Row],[Estado Civil]]="","PESSOA JURÍDICA","PESSOA FÍSICA")</f>
        <v>PESSOA FÍSICA</v>
      </c>
      <c r="Q346" t="str">
        <f>_xlfn.XLOOKUP(Base_CRM[[#This Row],[Cód do Cliente]],'[1]F &amp; O'!$A:$A,'[1]F &amp; O'!$F:$F,_xlfn.XLOOKUP(Base_CRM[[#This Row],[Assessor]],[1]DePara!$A:$A,[1]DePara!$D:$D,"Outros",0,1),0,1)</f>
        <v>Thayane Freitas</v>
      </c>
      <c r="R346" s="11" t="str">
        <f>_xlfn.XLOOKUP(Base_CRM[[#This Row],[Cód do Cliente]],'[1]F &amp; O'!$A:$A,'[1]F &amp; O'!D:D,"Sem Finder",0,1)</f>
        <v>Sem Finder</v>
      </c>
      <c r="S346" s="11" t="str">
        <f>_xlfn.XLOOKUP(Base_CRM[[#This Row],[Cód do Cliente]],'[1]F &amp; O'!$A:$A,'[1]F &amp; O'!E:E,"Sem Canal",0,1)</f>
        <v>Sem Canal</v>
      </c>
      <c r="T346" s="11" t="str">
        <f t="shared" si="5"/>
        <v>Cliente XP</v>
      </c>
    </row>
    <row r="347" spans="1:20" x14ac:dyDescent="0.3">
      <c r="A347">
        <v>3291688</v>
      </c>
      <c r="B347" s="8" t="s">
        <v>824</v>
      </c>
      <c r="C347" s="9" t="s">
        <v>74</v>
      </c>
      <c r="D347" s="8">
        <v>0</v>
      </c>
      <c r="E347">
        <v>5000</v>
      </c>
      <c r="F347" t="s">
        <v>22</v>
      </c>
      <c r="G347" t="s">
        <v>23</v>
      </c>
      <c r="H347" s="10">
        <v>34643</v>
      </c>
      <c r="I347" s="10" t="s">
        <v>781</v>
      </c>
      <c r="K347" t="s">
        <v>25</v>
      </c>
      <c r="L347" t="s">
        <v>825</v>
      </c>
      <c r="N347" s="11" t="str">
        <f>Base_CRM[[#This Row],[Cidade]]&amp;"/"&amp;Base_CRM[[#This Row],[Estado]]</f>
        <v>SANTO ANDRE/</v>
      </c>
      <c r="O347" s="12">
        <f>IFERROR(IF(Base_CRM[[#This Row],[PL Tailor]]&gt;Base_CRM[[#This Row],[PL Declarado]],1,Base_CRM[[#This Row],[PL Tailor]]/Base_CRM[[#This Row],[PL Declarado]]),0)</f>
        <v>0</v>
      </c>
      <c r="P347" s="11" t="str">
        <f>IF(Base_CRM[[#This Row],[Estado Civil]]="","PESSOA JURÍDICA","PESSOA FÍSICA")</f>
        <v>PESSOA FÍSICA</v>
      </c>
      <c r="Q347" t="str">
        <f>_xlfn.XLOOKUP(Base_CRM[[#This Row],[Cód do Cliente]],'[1]F &amp; O'!$A:$A,'[1]F &amp; O'!$F:$F,_xlfn.XLOOKUP(Base_CRM[[#This Row],[Assessor]],[1]DePara!$A:$A,[1]DePara!$D:$D,"Outros",0,1),0,1)</f>
        <v>Thayane Freitas</v>
      </c>
      <c r="R347" s="11" t="str">
        <f>_xlfn.XLOOKUP(Base_CRM[[#This Row],[Cód do Cliente]],'[1]F &amp; O'!$A:$A,'[1]F &amp; O'!D:D,"Sem Finder",0,1)</f>
        <v>Sem Finder</v>
      </c>
      <c r="S347" s="11" t="str">
        <f>_xlfn.XLOOKUP(Base_CRM[[#This Row],[Cód do Cliente]],'[1]F &amp; O'!$A:$A,'[1]F &amp; O'!E:E,"Sem Canal",0,1)</f>
        <v>Sem Canal</v>
      </c>
      <c r="T347" s="11" t="str">
        <f t="shared" si="5"/>
        <v>Cliente XP</v>
      </c>
    </row>
    <row r="348" spans="1:20" x14ac:dyDescent="0.3">
      <c r="A348">
        <v>329548</v>
      </c>
      <c r="B348" s="8" t="s">
        <v>826</v>
      </c>
      <c r="C348" s="9" t="s">
        <v>39</v>
      </c>
      <c r="D348" s="8">
        <v>1538842.34</v>
      </c>
      <c r="E348">
        <v>1000000</v>
      </c>
      <c r="F348" t="s">
        <v>29</v>
      </c>
      <c r="G348" t="s">
        <v>87</v>
      </c>
      <c r="H348" s="10">
        <v>32649</v>
      </c>
      <c r="I348" s="10" t="s">
        <v>115</v>
      </c>
      <c r="K348" t="s">
        <v>25</v>
      </c>
      <c r="L348" t="s">
        <v>827</v>
      </c>
      <c r="N348" s="11" t="str">
        <f>Base_CRM[[#This Row],[Cidade]]&amp;"/"&amp;Base_CRM[[#This Row],[Estado]]</f>
        <v>BARUERI/</v>
      </c>
      <c r="O348" s="12">
        <f>IFERROR(IF(Base_CRM[[#This Row],[PL Tailor]]&gt;Base_CRM[[#This Row],[PL Declarado]],1,Base_CRM[[#This Row],[PL Tailor]]/Base_CRM[[#This Row],[PL Declarado]]),0)</f>
        <v>1</v>
      </c>
      <c r="P348" s="11" t="str">
        <f>IF(Base_CRM[[#This Row],[Estado Civil]]="","PESSOA JURÍDICA","PESSOA FÍSICA")</f>
        <v>PESSOA FÍSICA</v>
      </c>
      <c r="Q348" t="str">
        <f>_xlfn.XLOOKUP(Base_CRM[[#This Row],[Cód do Cliente]],'[1]F &amp; O'!$A:$A,'[1]F &amp; O'!$F:$F,_xlfn.XLOOKUP(Base_CRM[[#This Row],[Assessor]],[1]DePara!$A:$A,[1]DePara!$D:$D,"Outros",0,1),0,1)</f>
        <v>Gestora</v>
      </c>
      <c r="R348" s="11" t="str">
        <f>_xlfn.XLOOKUP(Base_CRM[[#This Row],[Cód do Cliente]],'[1]F &amp; O'!$A:$A,'[1]F &amp; O'!D:D,"Sem Finder",0,1)</f>
        <v>Sem Finder</v>
      </c>
      <c r="S348" s="11" t="str">
        <f>_xlfn.XLOOKUP(Base_CRM[[#This Row],[Cód do Cliente]],'[1]F &amp; O'!$A:$A,'[1]F &amp; O'!E:E,"Sem Canal",0,1)</f>
        <v>Gestora</v>
      </c>
      <c r="T348" s="11" t="str">
        <f t="shared" si="5"/>
        <v>Cliente XP</v>
      </c>
    </row>
    <row r="349" spans="1:20" x14ac:dyDescent="0.3">
      <c r="A349">
        <v>3304050</v>
      </c>
      <c r="B349" s="8" t="s">
        <v>828</v>
      </c>
      <c r="C349" s="9" t="s">
        <v>39</v>
      </c>
      <c r="D349" s="8">
        <v>209877.81</v>
      </c>
      <c r="E349">
        <v>60000</v>
      </c>
      <c r="F349" t="s">
        <v>29</v>
      </c>
      <c r="G349" t="s">
        <v>141</v>
      </c>
      <c r="H349" s="10">
        <v>32345</v>
      </c>
      <c r="I349" s="10" t="s">
        <v>349</v>
      </c>
      <c r="K349" t="s">
        <v>25</v>
      </c>
      <c r="L349" t="s">
        <v>829</v>
      </c>
      <c r="N349" s="11" t="str">
        <f>Base_CRM[[#This Row],[Cidade]]&amp;"/"&amp;Base_CRM[[#This Row],[Estado]]</f>
        <v>São Paulo/</v>
      </c>
      <c r="O349" s="12">
        <f>IFERROR(IF(Base_CRM[[#This Row],[PL Tailor]]&gt;Base_CRM[[#This Row],[PL Declarado]],1,Base_CRM[[#This Row],[PL Tailor]]/Base_CRM[[#This Row],[PL Declarado]]),0)</f>
        <v>1</v>
      </c>
      <c r="P349" s="11" t="str">
        <f>IF(Base_CRM[[#This Row],[Estado Civil]]="","PESSOA JURÍDICA","PESSOA FÍSICA")</f>
        <v>PESSOA FÍSICA</v>
      </c>
      <c r="Q349" t="str">
        <f>_xlfn.XLOOKUP(Base_CRM[[#This Row],[Cód do Cliente]],'[1]F &amp; O'!$A:$A,'[1]F &amp; O'!$F:$F,_xlfn.XLOOKUP(Base_CRM[[#This Row],[Assessor]],[1]DePara!$A:$A,[1]DePara!$D:$D,"Outros",0,1),0,1)</f>
        <v>Gestora</v>
      </c>
      <c r="R349" s="11" t="str">
        <f>_xlfn.XLOOKUP(Base_CRM[[#This Row],[Cód do Cliente]],'[1]F &amp; O'!$A:$A,'[1]F &amp; O'!D:D,"Sem Finder",0,1)</f>
        <v>Sem Finder</v>
      </c>
      <c r="S349" s="11" t="str">
        <f>_xlfn.XLOOKUP(Base_CRM[[#This Row],[Cód do Cliente]],'[1]F &amp; O'!$A:$A,'[1]F &amp; O'!E:E,"Sem Canal",0,1)</f>
        <v>Gestora</v>
      </c>
      <c r="T349" s="11" t="str">
        <f t="shared" si="5"/>
        <v>Cliente XP</v>
      </c>
    </row>
    <row r="350" spans="1:20" x14ac:dyDescent="0.3">
      <c r="A350">
        <v>3321268</v>
      </c>
      <c r="B350" s="8" t="s">
        <v>830</v>
      </c>
      <c r="C350" s="9" t="s">
        <v>74</v>
      </c>
      <c r="D350" s="8">
        <v>98469.99</v>
      </c>
      <c r="E350">
        <v>0</v>
      </c>
      <c r="F350" t="s">
        <v>92</v>
      </c>
      <c r="G350" t="s">
        <v>35</v>
      </c>
      <c r="H350" s="10">
        <v>33379</v>
      </c>
      <c r="I350" s="10" t="s">
        <v>349</v>
      </c>
      <c r="K350" t="s">
        <v>42</v>
      </c>
      <c r="L350" t="s">
        <v>831</v>
      </c>
      <c r="N350" s="11" t="str">
        <f>Base_CRM[[#This Row],[Cidade]]&amp;"/"&amp;Base_CRM[[#This Row],[Estado]]</f>
        <v>São Paulo/</v>
      </c>
      <c r="O350" s="12">
        <f>IFERROR(IF(Base_CRM[[#This Row],[PL Tailor]]&gt;Base_CRM[[#This Row],[PL Declarado]],1,Base_CRM[[#This Row],[PL Tailor]]/Base_CRM[[#This Row],[PL Declarado]]),0)</f>
        <v>1</v>
      </c>
      <c r="P350" s="11" t="str">
        <f>IF(Base_CRM[[#This Row],[Estado Civil]]="","PESSOA JURÍDICA","PESSOA FÍSICA")</f>
        <v>PESSOA FÍSICA</v>
      </c>
      <c r="Q350" t="str">
        <f>_xlfn.XLOOKUP(Base_CRM[[#This Row],[Cód do Cliente]],'[1]F &amp; O'!$A:$A,'[1]F &amp; O'!$F:$F,_xlfn.XLOOKUP(Base_CRM[[#This Row],[Assessor]],[1]DePara!$A:$A,[1]DePara!$D:$D,"Outros",0,1),0,1)</f>
        <v>Thayane Freitas</v>
      </c>
      <c r="R350" s="11" t="str">
        <f>_xlfn.XLOOKUP(Base_CRM[[#This Row],[Cód do Cliente]],'[1]F &amp; O'!$A:$A,'[1]F &amp; O'!D:D,"Sem Finder",0,1)</f>
        <v>Sem Finder</v>
      </c>
      <c r="S350" s="11" t="str">
        <f>_xlfn.XLOOKUP(Base_CRM[[#This Row],[Cód do Cliente]],'[1]F &amp; O'!$A:$A,'[1]F &amp; O'!E:E,"Sem Canal",0,1)</f>
        <v>Sem Canal</v>
      </c>
      <c r="T350" s="11" t="str">
        <f t="shared" si="5"/>
        <v>Cliente XP</v>
      </c>
    </row>
    <row r="351" spans="1:20" x14ac:dyDescent="0.3">
      <c r="A351">
        <v>3331818</v>
      </c>
      <c r="B351" s="8" t="s">
        <v>832</v>
      </c>
      <c r="C351" s="9" t="s">
        <v>39</v>
      </c>
      <c r="D351" s="8">
        <v>488620.63</v>
      </c>
      <c r="E351">
        <v>1000000</v>
      </c>
      <c r="F351" t="s">
        <v>22</v>
      </c>
      <c r="G351" t="s">
        <v>35</v>
      </c>
      <c r="H351" s="10">
        <v>33099</v>
      </c>
      <c r="I351" s="10" t="s">
        <v>31</v>
      </c>
      <c r="K351" t="s">
        <v>25</v>
      </c>
      <c r="L351" t="s">
        <v>833</v>
      </c>
      <c r="N351" s="11" t="str">
        <f>Base_CRM[[#This Row],[Cidade]]&amp;"/"&amp;Base_CRM[[#This Row],[Estado]]</f>
        <v>SAO PAULO/</v>
      </c>
      <c r="O351" s="12">
        <f>IFERROR(IF(Base_CRM[[#This Row],[PL Tailor]]&gt;Base_CRM[[#This Row],[PL Declarado]],1,Base_CRM[[#This Row],[PL Tailor]]/Base_CRM[[#This Row],[PL Declarado]]),0)</f>
        <v>0.48862063</v>
      </c>
      <c r="P351" s="11" t="str">
        <f>IF(Base_CRM[[#This Row],[Estado Civil]]="","PESSOA JURÍDICA","PESSOA FÍSICA")</f>
        <v>PESSOA FÍSICA</v>
      </c>
      <c r="Q351" t="str">
        <f>_xlfn.XLOOKUP(Base_CRM[[#This Row],[Cód do Cliente]],'[1]F &amp; O'!$A:$A,'[1]F &amp; O'!$F:$F,_xlfn.XLOOKUP(Base_CRM[[#This Row],[Assessor]],[1]DePara!$A:$A,[1]DePara!$D:$D,"Outros",0,1),0,1)</f>
        <v>Gestora</v>
      </c>
      <c r="R351" s="11" t="str">
        <f>_xlfn.XLOOKUP(Base_CRM[[#This Row],[Cód do Cliente]],'[1]F &amp; O'!$A:$A,'[1]F &amp; O'!D:D,"Sem Finder",0,1)</f>
        <v>Sem Finder</v>
      </c>
      <c r="S351" s="11" t="str">
        <f>_xlfn.XLOOKUP(Base_CRM[[#This Row],[Cód do Cliente]],'[1]F &amp; O'!$A:$A,'[1]F &amp; O'!E:E,"Sem Canal",0,1)</f>
        <v>Gestora</v>
      </c>
      <c r="T351" s="11" t="str">
        <f t="shared" si="5"/>
        <v>Cliente XP</v>
      </c>
    </row>
    <row r="352" spans="1:20" x14ac:dyDescent="0.3">
      <c r="A352">
        <v>3366111</v>
      </c>
      <c r="B352" s="8" t="s">
        <v>834</v>
      </c>
      <c r="C352" s="9" t="s">
        <v>21</v>
      </c>
      <c r="D352" s="8">
        <v>800390.88</v>
      </c>
      <c r="E352">
        <v>1000000</v>
      </c>
      <c r="F352" t="s">
        <v>29</v>
      </c>
      <c r="G352" t="s">
        <v>35</v>
      </c>
      <c r="H352" s="10">
        <v>27272</v>
      </c>
      <c r="I352" s="10" t="s">
        <v>24</v>
      </c>
      <c r="K352" t="s">
        <v>593</v>
      </c>
      <c r="L352" t="s">
        <v>835</v>
      </c>
      <c r="N352" s="11" t="str">
        <f>Base_CRM[[#This Row],[Cidade]]&amp;"/"&amp;Base_CRM[[#This Row],[Estado]]</f>
        <v>RIO DE JANEIRO/</v>
      </c>
      <c r="O352" s="12">
        <f>IFERROR(IF(Base_CRM[[#This Row],[PL Tailor]]&gt;Base_CRM[[#This Row],[PL Declarado]],1,Base_CRM[[#This Row],[PL Tailor]]/Base_CRM[[#This Row],[PL Declarado]]),0)</f>
        <v>0.80039088000000003</v>
      </c>
      <c r="P352" s="11" t="str">
        <f>IF(Base_CRM[[#This Row],[Estado Civil]]="","PESSOA JURÍDICA","PESSOA FÍSICA")</f>
        <v>PESSOA FÍSICA</v>
      </c>
      <c r="Q352" t="str">
        <f>_xlfn.XLOOKUP(Base_CRM[[#This Row],[Cód do Cliente]],'[1]F &amp; O'!$A:$A,'[1]F &amp; O'!$F:$F,_xlfn.XLOOKUP(Base_CRM[[#This Row],[Assessor]],[1]DePara!$A:$A,[1]DePara!$D:$D,"Outros",0,1),0,1)</f>
        <v>Leonardo Burle</v>
      </c>
      <c r="R352" s="11" t="str">
        <f>_xlfn.XLOOKUP(Base_CRM[[#This Row],[Cód do Cliente]],'[1]F &amp; O'!$A:$A,'[1]F &amp; O'!D:D,"Sem Finder",0,1)</f>
        <v>Sem Finder</v>
      </c>
      <c r="S352" s="11" t="str">
        <f>_xlfn.XLOOKUP(Base_CRM[[#This Row],[Cód do Cliente]],'[1]F &amp; O'!$A:$A,'[1]F &amp; O'!E:E,"Sem Canal",0,1)</f>
        <v>Sem Canal</v>
      </c>
      <c r="T352" s="11" t="str">
        <f t="shared" si="5"/>
        <v>Cliente XP</v>
      </c>
    </row>
    <row r="353" spans="1:20" x14ac:dyDescent="0.3">
      <c r="A353">
        <v>3377472</v>
      </c>
      <c r="B353" s="8" t="s">
        <v>836</v>
      </c>
      <c r="C353" s="9" t="s">
        <v>21</v>
      </c>
      <c r="D353" s="8">
        <v>860302.77</v>
      </c>
      <c r="E353">
        <v>500000</v>
      </c>
      <c r="F353" t="s">
        <v>29</v>
      </c>
      <c r="G353" t="s">
        <v>71</v>
      </c>
      <c r="H353" s="10">
        <v>22359</v>
      </c>
      <c r="I353" s="10" t="s">
        <v>566</v>
      </c>
      <c r="K353" t="s">
        <v>42</v>
      </c>
      <c r="L353" t="s">
        <v>837</v>
      </c>
      <c r="N353" s="11" t="str">
        <f>Base_CRM[[#This Row],[Cidade]]&amp;"/"&amp;Base_CRM[[#This Row],[Estado]]</f>
        <v>VITORIA/</v>
      </c>
      <c r="O353" s="12">
        <f>IFERROR(IF(Base_CRM[[#This Row],[PL Tailor]]&gt;Base_CRM[[#This Row],[PL Declarado]],1,Base_CRM[[#This Row],[PL Tailor]]/Base_CRM[[#This Row],[PL Declarado]]),0)</f>
        <v>1</v>
      </c>
      <c r="P353" s="11" t="str">
        <f>IF(Base_CRM[[#This Row],[Estado Civil]]="","PESSOA JURÍDICA","PESSOA FÍSICA")</f>
        <v>PESSOA FÍSICA</v>
      </c>
      <c r="Q353" t="str">
        <f>_xlfn.XLOOKUP(Base_CRM[[#This Row],[Cód do Cliente]],'[1]F &amp; O'!$A:$A,'[1]F &amp; O'!$F:$F,_xlfn.XLOOKUP(Base_CRM[[#This Row],[Assessor]],[1]DePara!$A:$A,[1]DePara!$D:$D,"Outros",0,1),0,1)</f>
        <v>Leonardo Burle</v>
      </c>
      <c r="R353" s="11" t="str">
        <f>_xlfn.XLOOKUP(Base_CRM[[#This Row],[Cód do Cliente]],'[1]F &amp; O'!$A:$A,'[1]F &amp; O'!D:D,"Sem Finder",0,1)</f>
        <v>Sem Finder</v>
      </c>
      <c r="S353" s="11" t="str">
        <f>_xlfn.XLOOKUP(Base_CRM[[#This Row],[Cód do Cliente]],'[1]F &amp; O'!$A:$A,'[1]F &amp; O'!E:E,"Sem Canal",0,1)</f>
        <v>Sem Canal</v>
      </c>
      <c r="T353" s="11" t="str">
        <f t="shared" si="5"/>
        <v>Cliente XP</v>
      </c>
    </row>
    <row r="354" spans="1:20" x14ac:dyDescent="0.3">
      <c r="A354">
        <v>3396693</v>
      </c>
      <c r="B354" s="8" t="s">
        <v>838</v>
      </c>
      <c r="C354" s="9" t="s">
        <v>74</v>
      </c>
      <c r="D354" s="8">
        <v>95897.03</v>
      </c>
      <c r="E354">
        <v>300000</v>
      </c>
      <c r="F354" t="s">
        <v>22</v>
      </c>
      <c r="G354" t="s">
        <v>30</v>
      </c>
      <c r="H354" s="10">
        <v>31043</v>
      </c>
      <c r="I354" s="10" t="s">
        <v>285</v>
      </c>
      <c r="K354" t="s">
        <v>42</v>
      </c>
      <c r="L354" t="s">
        <v>839</v>
      </c>
      <c r="N354" s="11" t="str">
        <f>Base_CRM[[#This Row],[Cidade]]&amp;"/"&amp;Base_CRM[[#This Row],[Estado]]</f>
        <v>SANTANA DE PARNAIBA/</v>
      </c>
      <c r="O354" s="12">
        <f>IFERROR(IF(Base_CRM[[#This Row],[PL Tailor]]&gt;Base_CRM[[#This Row],[PL Declarado]],1,Base_CRM[[#This Row],[PL Tailor]]/Base_CRM[[#This Row],[PL Declarado]]),0)</f>
        <v>0.31965676666666665</v>
      </c>
      <c r="P354" s="11" t="str">
        <f>IF(Base_CRM[[#This Row],[Estado Civil]]="","PESSOA JURÍDICA","PESSOA FÍSICA")</f>
        <v>PESSOA FÍSICA</v>
      </c>
      <c r="Q354" t="str">
        <f>_xlfn.XLOOKUP(Base_CRM[[#This Row],[Cód do Cliente]],'[1]F &amp; O'!$A:$A,'[1]F &amp; O'!$F:$F,_xlfn.XLOOKUP(Base_CRM[[#This Row],[Assessor]],[1]DePara!$A:$A,[1]DePara!$D:$D,"Outros",0,1),0,1)</f>
        <v>Thayane Freitas</v>
      </c>
      <c r="R354" s="11" t="str">
        <f>_xlfn.XLOOKUP(Base_CRM[[#This Row],[Cód do Cliente]],'[1]F &amp; O'!$A:$A,'[1]F &amp; O'!D:D,"Sem Finder",0,1)</f>
        <v>José De Marchi</v>
      </c>
      <c r="S354" s="11" t="str">
        <f>_xlfn.XLOOKUP(Base_CRM[[#This Row],[Cód do Cliente]],'[1]F &amp; O'!$A:$A,'[1]F &amp; O'!E:E,"Sem Canal",0,1)</f>
        <v>Sem Canal</v>
      </c>
      <c r="T354" s="11" t="str">
        <f t="shared" si="5"/>
        <v>Cliente XP</v>
      </c>
    </row>
    <row r="355" spans="1:20" x14ac:dyDescent="0.3">
      <c r="A355">
        <v>3398113</v>
      </c>
      <c r="B355" s="8" t="s">
        <v>840</v>
      </c>
      <c r="C355" s="9" t="s">
        <v>21</v>
      </c>
      <c r="D355" s="8">
        <v>0</v>
      </c>
      <c r="E355">
        <v>15000</v>
      </c>
      <c r="F355" t="s">
        <v>22</v>
      </c>
      <c r="G355" t="s">
        <v>35</v>
      </c>
      <c r="H355" s="10">
        <v>21795</v>
      </c>
      <c r="I355" s="10" t="s">
        <v>84</v>
      </c>
      <c r="K355" t="s">
        <v>42</v>
      </c>
      <c r="L355" t="s">
        <v>841</v>
      </c>
      <c r="N355" s="11" t="str">
        <f>Base_CRM[[#This Row],[Cidade]]&amp;"/"&amp;Base_CRM[[#This Row],[Estado]]</f>
        <v>NITEROI/</v>
      </c>
      <c r="O355" s="12">
        <f>IFERROR(IF(Base_CRM[[#This Row],[PL Tailor]]&gt;Base_CRM[[#This Row],[PL Declarado]],1,Base_CRM[[#This Row],[PL Tailor]]/Base_CRM[[#This Row],[PL Declarado]]),0)</f>
        <v>0</v>
      </c>
      <c r="P355" s="11" t="str">
        <f>IF(Base_CRM[[#This Row],[Estado Civil]]="","PESSOA JURÍDICA","PESSOA FÍSICA")</f>
        <v>PESSOA FÍSICA</v>
      </c>
      <c r="Q355" t="str">
        <f>_xlfn.XLOOKUP(Base_CRM[[#This Row],[Cód do Cliente]],'[1]F &amp; O'!$A:$A,'[1]F &amp; O'!$F:$F,_xlfn.XLOOKUP(Base_CRM[[#This Row],[Assessor]],[1]DePara!$A:$A,[1]DePara!$D:$D,"Outros",0,1),0,1)</f>
        <v>Leonardo Burle</v>
      </c>
      <c r="R355" s="11" t="str">
        <f>_xlfn.XLOOKUP(Base_CRM[[#This Row],[Cód do Cliente]],'[1]F &amp; O'!$A:$A,'[1]F &amp; O'!D:D,"Sem Finder",0,1)</f>
        <v>Sem Finder</v>
      </c>
      <c r="S355" s="11" t="str">
        <f>_xlfn.XLOOKUP(Base_CRM[[#This Row],[Cód do Cliente]],'[1]F &amp; O'!$A:$A,'[1]F &amp; O'!E:E,"Sem Canal",0,1)</f>
        <v>Sem Canal</v>
      </c>
      <c r="T355" s="11" t="str">
        <f t="shared" si="5"/>
        <v>Cliente XP</v>
      </c>
    </row>
    <row r="356" spans="1:20" x14ac:dyDescent="0.3">
      <c r="A356">
        <v>3417909</v>
      </c>
      <c r="B356" s="8" t="s">
        <v>842</v>
      </c>
      <c r="C356" s="9" t="s">
        <v>103</v>
      </c>
      <c r="D356" s="8">
        <v>254883.76</v>
      </c>
      <c r="E356">
        <v>1025000</v>
      </c>
      <c r="F356" t="s">
        <v>22</v>
      </c>
      <c r="G356" t="s">
        <v>96</v>
      </c>
      <c r="H356" s="10">
        <v>34224</v>
      </c>
      <c r="I356" s="10" t="s">
        <v>24</v>
      </c>
      <c r="K356" t="s">
        <v>25</v>
      </c>
      <c r="L356" t="s">
        <v>843</v>
      </c>
      <c r="M356" t="s">
        <v>29</v>
      </c>
      <c r="N356" s="11" t="str">
        <f>Base_CRM[[#This Row],[Cidade]]&amp;"/"&amp;Base_CRM[[#This Row],[Estado]]</f>
        <v>RIO DE JANEIRO/</v>
      </c>
      <c r="O356" s="12">
        <f>IFERROR(IF(Base_CRM[[#This Row],[PL Tailor]]&gt;Base_CRM[[#This Row],[PL Declarado]],1,Base_CRM[[#This Row],[PL Tailor]]/Base_CRM[[#This Row],[PL Declarado]]),0)</f>
        <v>0.24866708292682926</v>
      </c>
      <c r="P356" s="11" t="str">
        <f>IF(Base_CRM[[#This Row],[Estado Civil]]="","PESSOA JURÍDICA","PESSOA FÍSICA")</f>
        <v>PESSOA FÍSICA</v>
      </c>
      <c r="Q356" t="str">
        <f>_xlfn.XLOOKUP(Base_CRM[[#This Row],[Cód do Cliente]],'[1]F &amp; O'!$A:$A,'[1]F &amp; O'!$F:$F,_xlfn.XLOOKUP(Base_CRM[[#This Row],[Assessor]],[1]DePara!$A:$A,[1]DePara!$D:$D,"Outros",0,1),0,1)</f>
        <v>Raphael Pereira</v>
      </c>
      <c r="R356" s="11" t="str">
        <f>_xlfn.XLOOKUP(Base_CRM[[#This Row],[Cód do Cliente]],'[1]F &amp; O'!$A:$A,'[1]F &amp; O'!D:D,"Sem Finder",0,1)</f>
        <v>Sem Finder</v>
      </c>
      <c r="S356" s="11" t="str">
        <f>_xlfn.XLOOKUP(Base_CRM[[#This Row],[Cód do Cliente]],'[1]F &amp; O'!$A:$A,'[1]F &amp; O'!E:E,"Sem Canal",0,1)</f>
        <v>Sem Canal</v>
      </c>
      <c r="T356" s="11" t="str">
        <f t="shared" si="5"/>
        <v>Cliente XP</v>
      </c>
    </row>
    <row r="357" spans="1:20" x14ac:dyDescent="0.3">
      <c r="A357">
        <v>3418718</v>
      </c>
      <c r="B357" s="8" t="s">
        <v>844</v>
      </c>
      <c r="C357" s="9" t="s">
        <v>48</v>
      </c>
      <c r="D357" s="8">
        <v>148444.35999999999</v>
      </c>
      <c r="E357">
        <v>1000000</v>
      </c>
      <c r="F357" t="s">
        <v>22</v>
      </c>
      <c r="G357" t="s">
        <v>67</v>
      </c>
      <c r="H357" s="10">
        <v>34037</v>
      </c>
      <c r="I357" s="10" t="s">
        <v>454</v>
      </c>
      <c r="K357" t="s">
        <v>25</v>
      </c>
      <c r="L357" t="s">
        <v>845</v>
      </c>
      <c r="N357" s="11" t="str">
        <f>Base_CRM[[#This Row],[Cidade]]&amp;"/"&amp;Base_CRM[[#This Row],[Estado]]</f>
        <v>RECIFE/</v>
      </c>
      <c r="O357" s="12">
        <f>IFERROR(IF(Base_CRM[[#This Row],[PL Tailor]]&gt;Base_CRM[[#This Row],[PL Declarado]],1,Base_CRM[[#This Row],[PL Tailor]]/Base_CRM[[#This Row],[PL Declarado]]),0)</f>
        <v>0.14844436</v>
      </c>
      <c r="P357" s="11" t="str">
        <f>IF(Base_CRM[[#This Row],[Estado Civil]]="","PESSOA JURÍDICA","PESSOA FÍSICA")</f>
        <v>PESSOA FÍSICA</v>
      </c>
      <c r="Q357" t="str">
        <f>_xlfn.XLOOKUP(Base_CRM[[#This Row],[Cód do Cliente]],'[1]F &amp; O'!$A:$A,'[1]F &amp; O'!$F:$F,_xlfn.XLOOKUP(Base_CRM[[#This Row],[Assessor]],[1]DePara!$A:$A,[1]DePara!$D:$D,"Outros",0,1),0,1)</f>
        <v>Raphael Farias</v>
      </c>
      <c r="R357" s="11" t="str">
        <f>_xlfn.XLOOKUP(Base_CRM[[#This Row],[Cód do Cliente]],'[1]F &amp; O'!$A:$A,'[1]F &amp; O'!D:D,"Sem Finder",0,1)</f>
        <v>Sem Finder</v>
      </c>
      <c r="S357" s="11" t="str">
        <f>_xlfn.XLOOKUP(Base_CRM[[#This Row],[Cód do Cliente]],'[1]F &amp; O'!$A:$A,'[1]F &amp; O'!E:E,"Sem Canal",0,1)</f>
        <v>Sem Canal</v>
      </c>
      <c r="T357" s="11" t="str">
        <f t="shared" si="5"/>
        <v>Cliente XP</v>
      </c>
    </row>
    <row r="358" spans="1:20" x14ac:dyDescent="0.3">
      <c r="A358">
        <v>3419211</v>
      </c>
      <c r="B358" s="8" t="s">
        <v>846</v>
      </c>
      <c r="C358" s="9" t="s">
        <v>21</v>
      </c>
      <c r="D358" s="8">
        <v>407396.71</v>
      </c>
      <c r="E358">
        <v>30000</v>
      </c>
      <c r="F358" t="s">
        <v>29</v>
      </c>
      <c r="G358" t="s">
        <v>96</v>
      </c>
      <c r="H358" s="10">
        <v>34377</v>
      </c>
      <c r="I358" s="10" t="s">
        <v>31</v>
      </c>
      <c r="K358" t="s">
        <v>25</v>
      </c>
      <c r="L358" t="s">
        <v>847</v>
      </c>
      <c r="N358" s="11" t="str">
        <f>Base_CRM[[#This Row],[Cidade]]&amp;"/"&amp;Base_CRM[[#This Row],[Estado]]</f>
        <v>SAO PAULO/</v>
      </c>
      <c r="O358" s="12">
        <f>IFERROR(IF(Base_CRM[[#This Row],[PL Tailor]]&gt;Base_CRM[[#This Row],[PL Declarado]],1,Base_CRM[[#This Row],[PL Tailor]]/Base_CRM[[#This Row],[PL Declarado]]),0)</f>
        <v>1</v>
      </c>
      <c r="P358" s="11" t="str">
        <f>IF(Base_CRM[[#This Row],[Estado Civil]]="","PESSOA JURÍDICA","PESSOA FÍSICA")</f>
        <v>PESSOA FÍSICA</v>
      </c>
      <c r="Q358" t="str">
        <f>_xlfn.XLOOKUP(Base_CRM[[#This Row],[Cód do Cliente]],'[1]F &amp; O'!$A:$A,'[1]F &amp; O'!$F:$F,_xlfn.XLOOKUP(Base_CRM[[#This Row],[Assessor]],[1]DePara!$A:$A,[1]DePara!$D:$D,"Outros",0,1),0,1)</f>
        <v>Leonardo Burle</v>
      </c>
      <c r="R358" s="11" t="str">
        <f>_xlfn.XLOOKUP(Base_CRM[[#This Row],[Cód do Cliente]],'[1]F &amp; O'!$A:$A,'[1]F &amp; O'!D:D,"Sem Finder",0,1)</f>
        <v>Sem Finder</v>
      </c>
      <c r="S358" s="11" t="str">
        <f>_xlfn.XLOOKUP(Base_CRM[[#This Row],[Cód do Cliente]],'[1]F &amp; O'!$A:$A,'[1]F &amp; O'!E:E,"Sem Canal",0,1)</f>
        <v>Sem Canal</v>
      </c>
      <c r="T358" s="11" t="str">
        <f t="shared" si="5"/>
        <v>Cliente XP</v>
      </c>
    </row>
    <row r="359" spans="1:20" x14ac:dyDescent="0.3">
      <c r="A359">
        <v>345717</v>
      </c>
      <c r="B359" s="8" t="s">
        <v>848</v>
      </c>
      <c r="C359" s="9" t="s">
        <v>74</v>
      </c>
      <c r="D359" s="8">
        <v>0</v>
      </c>
      <c r="E359">
        <v>1000000</v>
      </c>
      <c r="F359" t="s">
        <v>22</v>
      </c>
      <c r="G359" t="s">
        <v>87</v>
      </c>
      <c r="H359" s="10">
        <v>32557</v>
      </c>
      <c r="I359" s="10" t="s">
        <v>349</v>
      </c>
      <c r="K359" t="s">
        <v>25</v>
      </c>
      <c r="L359" t="s">
        <v>849</v>
      </c>
      <c r="N359" s="11" t="str">
        <f>Base_CRM[[#This Row],[Cidade]]&amp;"/"&amp;Base_CRM[[#This Row],[Estado]]</f>
        <v>São Paulo/</v>
      </c>
      <c r="O359" s="12">
        <f>IFERROR(IF(Base_CRM[[#This Row],[PL Tailor]]&gt;Base_CRM[[#This Row],[PL Declarado]],1,Base_CRM[[#This Row],[PL Tailor]]/Base_CRM[[#This Row],[PL Declarado]]),0)</f>
        <v>0</v>
      </c>
      <c r="P359" s="11" t="str">
        <f>IF(Base_CRM[[#This Row],[Estado Civil]]="","PESSOA JURÍDICA","PESSOA FÍSICA")</f>
        <v>PESSOA FÍSICA</v>
      </c>
      <c r="Q359" t="str">
        <f>_xlfn.XLOOKUP(Base_CRM[[#This Row],[Cód do Cliente]],'[1]F &amp; O'!$A:$A,'[1]F &amp; O'!$F:$F,_xlfn.XLOOKUP(Base_CRM[[#This Row],[Assessor]],[1]DePara!$A:$A,[1]DePara!$D:$D,"Outros",0,1),0,1)</f>
        <v>Thayane Freitas</v>
      </c>
      <c r="R359" s="11" t="str">
        <f>_xlfn.XLOOKUP(Base_CRM[[#This Row],[Cód do Cliente]],'[1]F &amp; O'!$A:$A,'[1]F &amp; O'!D:D,"Sem Finder",0,1)</f>
        <v>Sem Finder</v>
      </c>
      <c r="S359" s="11" t="str">
        <f>_xlfn.XLOOKUP(Base_CRM[[#This Row],[Cód do Cliente]],'[1]F &amp; O'!$A:$A,'[1]F &amp; O'!E:E,"Sem Canal",0,1)</f>
        <v>Sem Canal</v>
      </c>
      <c r="T359" s="11" t="str">
        <f t="shared" si="5"/>
        <v>Cliente XP</v>
      </c>
    </row>
    <row r="360" spans="1:20" x14ac:dyDescent="0.3">
      <c r="A360">
        <v>3491463</v>
      </c>
      <c r="B360" s="8" t="s">
        <v>850</v>
      </c>
      <c r="C360" s="9" t="s">
        <v>34</v>
      </c>
      <c r="D360" s="8">
        <v>114441.66</v>
      </c>
      <c r="E360">
        <v>230000</v>
      </c>
      <c r="F360" t="s">
        <v>29</v>
      </c>
      <c r="G360" t="s">
        <v>67</v>
      </c>
      <c r="H360" s="10">
        <v>30835</v>
      </c>
      <c r="I360" s="10" t="s">
        <v>130</v>
      </c>
      <c r="K360" t="s">
        <v>68</v>
      </c>
      <c r="L360" t="s">
        <v>851</v>
      </c>
      <c r="M360" t="s">
        <v>90</v>
      </c>
      <c r="N360" s="11" t="str">
        <f>Base_CRM[[#This Row],[Cidade]]&amp;"/"&amp;Base_CRM[[#This Row],[Estado]]</f>
        <v>FLORIANOPOLIS/</v>
      </c>
      <c r="O360" s="12">
        <f>IFERROR(IF(Base_CRM[[#This Row],[PL Tailor]]&gt;Base_CRM[[#This Row],[PL Declarado]],1,Base_CRM[[#This Row],[PL Tailor]]/Base_CRM[[#This Row],[PL Declarado]]),0)</f>
        <v>0.49757243478260871</v>
      </c>
      <c r="P360" s="11" t="str">
        <f>IF(Base_CRM[[#This Row],[Estado Civil]]="","PESSOA JURÍDICA","PESSOA FÍSICA")</f>
        <v>PESSOA FÍSICA</v>
      </c>
      <c r="Q360" t="str">
        <f>_xlfn.XLOOKUP(Base_CRM[[#This Row],[Cód do Cliente]],'[1]F &amp; O'!$A:$A,'[1]F &amp; O'!$F:$F,_xlfn.XLOOKUP(Base_CRM[[#This Row],[Assessor]],[1]DePara!$A:$A,[1]DePara!$D:$D,"Outros",0,1),0,1)</f>
        <v>Adonias Noronha</v>
      </c>
      <c r="R360" s="11" t="str">
        <f>_xlfn.XLOOKUP(Base_CRM[[#This Row],[Cód do Cliente]],'[1]F &amp; O'!$A:$A,'[1]F &amp; O'!D:D,"Sem Finder",0,1)</f>
        <v>Sem Finder</v>
      </c>
      <c r="S360" s="11" t="str">
        <f>_xlfn.XLOOKUP(Base_CRM[[#This Row],[Cód do Cliente]],'[1]F &amp; O'!$A:$A,'[1]F &amp; O'!E:E,"Sem Canal",0,1)</f>
        <v>Sem Canal</v>
      </c>
      <c r="T360" s="11" t="str">
        <f t="shared" si="5"/>
        <v>Cliente XP</v>
      </c>
    </row>
    <row r="361" spans="1:20" x14ac:dyDescent="0.3">
      <c r="A361">
        <v>3508810</v>
      </c>
      <c r="B361" s="8" t="s">
        <v>852</v>
      </c>
      <c r="C361" s="9" t="s">
        <v>39</v>
      </c>
      <c r="D361" s="8">
        <v>44985.42</v>
      </c>
      <c r="E361">
        <v>3000</v>
      </c>
      <c r="F361" t="s">
        <v>29</v>
      </c>
      <c r="G361" t="s">
        <v>67</v>
      </c>
      <c r="H361" s="10">
        <v>31599</v>
      </c>
      <c r="I361" s="10" t="s">
        <v>189</v>
      </c>
      <c r="K361" t="s">
        <v>25</v>
      </c>
      <c r="L361" t="s">
        <v>853</v>
      </c>
      <c r="N361" s="11" t="str">
        <f>Base_CRM[[#This Row],[Cidade]]&amp;"/"&amp;Base_CRM[[#This Row],[Estado]]</f>
        <v>SOROCABA/</v>
      </c>
      <c r="O361" s="12">
        <f>IFERROR(IF(Base_CRM[[#This Row],[PL Tailor]]&gt;Base_CRM[[#This Row],[PL Declarado]],1,Base_CRM[[#This Row],[PL Tailor]]/Base_CRM[[#This Row],[PL Declarado]]),0)</f>
        <v>1</v>
      </c>
      <c r="P361" s="11" t="str">
        <f>IF(Base_CRM[[#This Row],[Estado Civil]]="","PESSOA JURÍDICA","PESSOA FÍSICA")</f>
        <v>PESSOA FÍSICA</v>
      </c>
      <c r="Q361" t="str">
        <f>_xlfn.XLOOKUP(Base_CRM[[#This Row],[Cód do Cliente]],'[1]F &amp; O'!$A:$A,'[1]F &amp; O'!$F:$F,_xlfn.XLOOKUP(Base_CRM[[#This Row],[Assessor]],[1]DePara!$A:$A,[1]DePara!$D:$D,"Outros",0,1),0,1)</f>
        <v>Gestora</v>
      </c>
      <c r="R361" s="11" t="str">
        <f>_xlfn.XLOOKUP(Base_CRM[[#This Row],[Cód do Cliente]],'[1]F &amp; O'!$A:$A,'[1]F &amp; O'!D:D,"Sem Finder",0,1)</f>
        <v>Sem Finder</v>
      </c>
      <c r="S361" s="11" t="str">
        <f>_xlfn.XLOOKUP(Base_CRM[[#This Row],[Cód do Cliente]],'[1]F &amp; O'!$A:$A,'[1]F &amp; O'!E:E,"Sem Canal",0,1)</f>
        <v>Gestora</v>
      </c>
      <c r="T361" s="11" t="str">
        <f t="shared" si="5"/>
        <v>Cliente XP</v>
      </c>
    </row>
    <row r="362" spans="1:20" x14ac:dyDescent="0.3">
      <c r="A362">
        <v>350996</v>
      </c>
      <c r="B362" s="8" t="s">
        <v>854</v>
      </c>
      <c r="C362" s="9" t="s">
        <v>34</v>
      </c>
      <c r="D362" s="8">
        <v>93360.25</v>
      </c>
      <c r="E362">
        <v>200000</v>
      </c>
      <c r="F362" t="s">
        <v>22</v>
      </c>
      <c r="G362" t="s">
        <v>23</v>
      </c>
      <c r="H362" s="10">
        <v>33435</v>
      </c>
      <c r="I362" s="10" t="s">
        <v>31</v>
      </c>
      <c r="K362" t="s">
        <v>42</v>
      </c>
      <c r="L362" t="s">
        <v>855</v>
      </c>
      <c r="N362" s="11" t="str">
        <f>Base_CRM[[#This Row],[Cidade]]&amp;"/"&amp;Base_CRM[[#This Row],[Estado]]</f>
        <v>SAO PAULO/</v>
      </c>
      <c r="O362" s="12">
        <f>IFERROR(IF(Base_CRM[[#This Row],[PL Tailor]]&gt;Base_CRM[[#This Row],[PL Declarado]],1,Base_CRM[[#This Row],[PL Tailor]]/Base_CRM[[#This Row],[PL Declarado]]),0)</f>
        <v>0.46680125</v>
      </c>
      <c r="P362" s="11" t="str">
        <f>IF(Base_CRM[[#This Row],[Estado Civil]]="","PESSOA JURÍDICA","PESSOA FÍSICA")</f>
        <v>PESSOA FÍSICA</v>
      </c>
      <c r="Q362" t="str">
        <f>_xlfn.XLOOKUP(Base_CRM[[#This Row],[Cód do Cliente]],'[1]F &amp; O'!$A:$A,'[1]F &amp; O'!$F:$F,_xlfn.XLOOKUP(Base_CRM[[#This Row],[Assessor]],[1]DePara!$A:$A,[1]DePara!$D:$D,"Outros",0,1),0,1)</f>
        <v>Adonias Noronha</v>
      </c>
      <c r="R362" s="11" t="str">
        <f>_xlfn.XLOOKUP(Base_CRM[[#This Row],[Cód do Cliente]],'[1]F &amp; O'!$A:$A,'[1]F &amp; O'!D:D,"Sem Finder",0,1)</f>
        <v>Sem Finder</v>
      </c>
      <c r="S362" s="11" t="str">
        <f>_xlfn.XLOOKUP(Base_CRM[[#This Row],[Cód do Cliente]],'[1]F &amp; O'!$A:$A,'[1]F &amp; O'!E:E,"Sem Canal",0,1)</f>
        <v>Camila Corrêa</v>
      </c>
      <c r="T362" s="11" t="str">
        <f t="shared" si="5"/>
        <v>Cliente XP</v>
      </c>
    </row>
    <row r="363" spans="1:20" x14ac:dyDescent="0.3">
      <c r="A363">
        <v>3528556</v>
      </c>
      <c r="B363" s="8" t="s">
        <v>856</v>
      </c>
      <c r="C363" s="9" t="s">
        <v>74</v>
      </c>
      <c r="D363" s="8">
        <v>104561.16</v>
      </c>
      <c r="E363">
        <v>50000</v>
      </c>
      <c r="F363" t="s">
        <v>22</v>
      </c>
      <c r="G363" t="s">
        <v>35</v>
      </c>
      <c r="H363" s="10">
        <v>33801</v>
      </c>
      <c r="I363" s="10" t="s">
        <v>24</v>
      </c>
      <c r="K363" t="s">
        <v>25</v>
      </c>
      <c r="L363" t="s">
        <v>857</v>
      </c>
      <c r="N363" s="11" t="str">
        <f>Base_CRM[[#This Row],[Cidade]]&amp;"/"&amp;Base_CRM[[#This Row],[Estado]]</f>
        <v>RIO DE JANEIRO/</v>
      </c>
      <c r="O363" s="12">
        <f>IFERROR(IF(Base_CRM[[#This Row],[PL Tailor]]&gt;Base_CRM[[#This Row],[PL Declarado]],1,Base_CRM[[#This Row],[PL Tailor]]/Base_CRM[[#This Row],[PL Declarado]]),0)</f>
        <v>1</v>
      </c>
      <c r="P363" s="11" t="str">
        <f>IF(Base_CRM[[#This Row],[Estado Civil]]="","PESSOA JURÍDICA","PESSOA FÍSICA")</f>
        <v>PESSOA FÍSICA</v>
      </c>
      <c r="Q363" t="str">
        <f>_xlfn.XLOOKUP(Base_CRM[[#This Row],[Cód do Cliente]],'[1]F &amp; O'!$A:$A,'[1]F &amp; O'!$F:$F,_xlfn.XLOOKUP(Base_CRM[[#This Row],[Assessor]],[1]DePara!$A:$A,[1]DePara!$D:$D,"Outros",0,1),0,1)</f>
        <v>Thayane Freitas</v>
      </c>
      <c r="R363" s="11" t="str">
        <f>_xlfn.XLOOKUP(Base_CRM[[#This Row],[Cód do Cliente]],'[1]F &amp; O'!$A:$A,'[1]F &amp; O'!D:D,"Sem Finder",0,1)</f>
        <v>Sem Finder</v>
      </c>
      <c r="S363" s="11" t="str">
        <f>_xlfn.XLOOKUP(Base_CRM[[#This Row],[Cód do Cliente]],'[1]F &amp; O'!$A:$A,'[1]F &amp; O'!E:E,"Sem Canal",0,1)</f>
        <v>Sem Canal</v>
      </c>
      <c r="T363" s="11" t="str">
        <f t="shared" si="5"/>
        <v>Cliente XP</v>
      </c>
    </row>
    <row r="364" spans="1:20" x14ac:dyDescent="0.3">
      <c r="A364">
        <v>353274</v>
      </c>
      <c r="B364" s="8" t="s">
        <v>384</v>
      </c>
      <c r="C364" s="9" t="s">
        <v>48</v>
      </c>
      <c r="D364" s="8">
        <v>552410.96</v>
      </c>
      <c r="E364">
        <v>10000000</v>
      </c>
      <c r="F364" t="s">
        <v>22</v>
      </c>
      <c r="G364" t="s">
        <v>141</v>
      </c>
      <c r="H364" s="10">
        <v>29272</v>
      </c>
      <c r="I364" s="10" t="s">
        <v>115</v>
      </c>
      <c r="K364" t="s">
        <v>42</v>
      </c>
      <c r="L364" t="s">
        <v>385</v>
      </c>
      <c r="M364" t="s">
        <v>381</v>
      </c>
      <c r="N364" s="11" t="str">
        <f>Base_CRM[[#This Row],[Cidade]]&amp;"/"&amp;Base_CRM[[#This Row],[Estado]]</f>
        <v>BARUERI/</v>
      </c>
      <c r="O364" s="12">
        <f>IFERROR(IF(Base_CRM[[#This Row],[PL Tailor]]&gt;Base_CRM[[#This Row],[PL Declarado]],1,Base_CRM[[#This Row],[PL Tailor]]/Base_CRM[[#This Row],[PL Declarado]]),0)</f>
        <v>5.5241095999999996E-2</v>
      </c>
      <c r="P364" s="11" t="str">
        <f>IF(Base_CRM[[#This Row],[Estado Civil]]="","PESSOA JURÍDICA","PESSOA FÍSICA")</f>
        <v>PESSOA FÍSICA</v>
      </c>
      <c r="Q364" t="str">
        <f>_xlfn.XLOOKUP(Base_CRM[[#This Row],[Cód do Cliente]],'[1]F &amp; O'!$A:$A,'[1]F &amp; O'!$F:$F,_xlfn.XLOOKUP(Base_CRM[[#This Row],[Assessor]],[1]DePara!$A:$A,[1]DePara!$D:$D,"Outros",0,1),0,1)</f>
        <v>Raphael Farias</v>
      </c>
      <c r="R364" s="11" t="str">
        <f>_xlfn.XLOOKUP(Base_CRM[[#This Row],[Cód do Cliente]],'[1]F &amp; O'!$A:$A,'[1]F &amp; O'!D:D,"Sem Finder",0,1)</f>
        <v>Sem Finder</v>
      </c>
      <c r="S364" s="11" t="str">
        <f>_xlfn.XLOOKUP(Base_CRM[[#This Row],[Cód do Cliente]],'[1]F &amp; O'!$A:$A,'[1]F &amp; O'!E:E,"Sem Canal",0,1)</f>
        <v>Sem Canal</v>
      </c>
      <c r="T364" s="11" t="str">
        <f t="shared" si="5"/>
        <v>Cliente XP</v>
      </c>
    </row>
    <row r="365" spans="1:20" x14ac:dyDescent="0.3">
      <c r="A365">
        <v>3535105</v>
      </c>
      <c r="B365" s="8" t="s">
        <v>858</v>
      </c>
      <c r="C365" s="9" t="s">
        <v>39</v>
      </c>
      <c r="D365" s="8">
        <v>1233905.79</v>
      </c>
      <c r="E365">
        <v>1000000</v>
      </c>
      <c r="F365" t="s">
        <v>29</v>
      </c>
      <c r="G365" t="s">
        <v>87</v>
      </c>
      <c r="H365" s="10">
        <v>32010</v>
      </c>
      <c r="I365" s="10" t="s">
        <v>31</v>
      </c>
      <c r="K365" t="s">
        <v>42</v>
      </c>
      <c r="L365" t="s">
        <v>859</v>
      </c>
      <c r="N365" s="11" t="str">
        <f>Base_CRM[[#This Row],[Cidade]]&amp;"/"&amp;Base_CRM[[#This Row],[Estado]]</f>
        <v>SAO PAULO/</v>
      </c>
      <c r="O365" s="12">
        <f>IFERROR(IF(Base_CRM[[#This Row],[PL Tailor]]&gt;Base_CRM[[#This Row],[PL Declarado]],1,Base_CRM[[#This Row],[PL Tailor]]/Base_CRM[[#This Row],[PL Declarado]]),0)</f>
        <v>1</v>
      </c>
      <c r="P365" s="11" t="str">
        <f>IF(Base_CRM[[#This Row],[Estado Civil]]="","PESSOA JURÍDICA","PESSOA FÍSICA")</f>
        <v>PESSOA FÍSICA</v>
      </c>
      <c r="Q365" t="str">
        <f>_xlfn.XLOOKUP(Base_CRM[[#This Row],[Cód do Cliente]],'[1]F &amp; O'!$A:$A,'[1]F &amp; O'!$F:$F,_xlfn.XLOOKUP(Base_CRM[[#This Row],[Assessor]],[1]DePara!$A:$A,[1]DePara!$D:$D,"Outros",0,1),0,1)</f>
        <v>Gestora</v>
      </c>
      <c r="R365" s="11" t="str">
        <f>_xlfn.XLOOKUP(Base_CRM[[#This Row],[Cód do Cliente]],'[1]F &amp; O'!$A:$A,'[1]F &amp; O'!D:D,"Sem Finder",0,1)</f>
        <v>Sem Finder</v>
      </c>
      <c r="S365" s="11" t="str">
        <f>_xlfn.XLOOKUP(Base_CRM[[#This Row],[Cód do Cliente]],'[1]F &amp; O'!$A:$A,'[1]F &amp; O'!E:E,"Sem Canal",0,1)</f>
        <v>Gestora</v>
      </c>
      <c r="T365" s="11" t="str">
        <f t="shared" si="5"/>
        <v>Cliente XP</v>
      </c>
    </row>
    <row r="366" spans="1:20" x14ac:dyDescent="0.3">
      <c r="A366">
        <v>3537114</v>
      </c>
      <c r="B366" s="8" t="s">
        <v>860</v>
      </c>
      <c r="C366" s="9" t="s">
        <v>39</v>
      </c>
      <c r="D366" s="8">
        <v>548008.68000000005</v>
      </c>
      <c r="E366">
        <v>291000</v>
      </c>
      <c r="F366" t="s">
        <v>22</v>
      </c>
      <c r="G366" t="s">
        <v>35</v>
      </c>
      <c r="H366" s="10">
        <v>27183</v>
      </c>
      <c r="I366" s="10" t="s">
        <v>31</v>
      </c>
      <c r="K366" t="s">
        <v>42</v>
      </c>
      <c r="L366" t="s">
        <v>861</v>
      </c>
      <c r="N366" s="11" t="str">
        <f>Base_CRM[[#This Row],[Cidade]]&amp;"/"&amp;Base_CRM[[#This Row],[Estado]]</f>
        <v>SAO PAULO/</v>
      </c>
      <c r="O366" s="12">
        <f>IFERROR(IF(Base_CRM[[#This Row],[PL Tailor]]&gt;Base_CRM[[#This Row],[PL Declarado]],1,Base_CRM[[#This Row],[PL Tailor]]/Base_CRM[[#This Row],[PL Declarado]]),0)</f>
        <v>1</v>
      </c>
      <c r="P366" s="11" t="str">
        <f>IF(Base_CRM[[#This Row],[Estado Civil]]="","PESSOA JURÍDICA","PESSOA FÍSICA")</f>
        <v>PESSOA FÍSICA</v>
      </c>
      <c r="Q366" t="str">
        <f>_xlfn.XLOOKUP(Base_CRM[[#This Row],[Cód do Cliente]],'[1]F &amp; O'!$A:$A,'[1]F &amp; O'!$F:$F,_xlfn.XLOOKUP(Base_CRM[[#This Row],[Assessor]],[1]DePara!$A:$A,[1]DePara!$D:$D,"Outros",0,1),0,1)</f>
        <v>Gestora</v>
      </c>
      <c r="R366" s="11" t="str">
        <f>_xlfn.XLOOKUP(Base_CRM[[#This Row],[Cód do Cliente]],'[1]F &amp; O'!$A:$A,'[1]F &amp; O'!D:D,"Sem Finder",0,1)</f>
        <v>Pedro Chagas</v>
      </c>
      <c r="S366" s="11" t="str">
        <f>_xlfn.XLOOKUP(Base_CRM[[#This Row],[Cód do Cliente]],'[1]F &amp; O'!$A:$A,'[1]F &amp; O'!E:E,"Sem Canal",0,1)</f>
        <v>Gestora</v>
      </c>
      <c r="T366" s="11" t="str">
        <f t="shared" si="5"/>
        <v>Cliente XP</v>
      </c>
    </row>
    <row r="367" spans="1:20" x14ac:dyDescent="0.3">
      <c r="A367">
        <v>3538138</v>
      </c>
      <c r="B367" s="8" t="s">
        <v>862</v>
      </c>
      <c r="C367" s="9" t="s">
        <v>74</v>
      </c>
      <c r="D367" s="8">
        <v>0</v>
      </c>
      <c r="E367">
        <v>1000000</v>
      </c>
      <c r="F367" t="s">
        <v>22</v>
      </c>
      <c r="G367" t="s">
        <v>863</v>
      </c>
      <c r="H367" s="10">
        <v>22038</v>
      </c>
      <c r="I367" s="10" t="s">
        <v>24</v>
      </c>
      <c r="K367" t="s">
        <v>88</v>
      </c>
      <c r="L367" t="s">
        <v>864</v>
      </c>
      <c r="M367" t="s">
        <v>77</v>
      </c>
      <c r="N367" s="11" t="str">
        <f>Base_CRM[[#This Row],[Cidade]]&amp;"/"&amp;Base_CRM[[#This Row],[Estado]]</f>
        <v>RIO DE JANEIRO/</v>
      </c>
      <c r="O367" s="12">
        <f>IFERROR(IF(Base_CRM[[#This Row],[PL Tailor]]&gt;Base_CRM[[#This Row],[PL Declarado]],1,Base_CRM[[#This Row],[PL Tailor]]/Base_CRM[[#This Row],[PL Declarado]]),0)</f>
        <v>0</v>
      </c>
      <c r="P367" s="11" t="str">
        <f>IF(Base_CRM[[#This Row],[Estado Civil]]="","PESSOA JURÍDICA","PESSOA FÍSICA")</f>
        <v>PESSOA FÍSICA</v>
      </c>
      <c r="Q367" t="str">
        <f>_xlfn.XLOOKUP(Base_CRM[[#This Row],[Cód do Cliente]],'[1]F &amp; O'!$A:$A,'[1]F &amp; O'!$F:$F,_xlfn.XLOOKUP(Base_CRM[[#This Row],[Assessor]],[1]DePara!$A:$A,[1]DePara!$D:$D,"Outros",0,1),0,1)</f>
        <v>Thayane Freitas</v>
      </c>
      <c r="R367" s="11" t="str">
        <f>_xlfn.XLOOKUP(Base_CRM[[#This Row],[Cód do Cliente]],'[1]F &amp; O'!$A:$A,'[1]F &amp; O'!D:D,"Sem Finder",0,1)</f>
        <v>Sem Finder</v>
      </c>
      <c r="S367" s="11" t="str">
        <f>_xlfn.XLOOKUP(Base_CRM[[#This Row],[Cód do Cliente]],'[1]F &amp; O'!$A:$A,'[1]F &amp; O'!E:E,"Sem Canal",0,1)</f>
        <v>Sem Canal</v>
      </c>
      <c r="T367" s="11" t="str">
        <f t="shared" si="5"/>
        <v>Cliente XP</v>
      </c>
    </row>
    <row r="368" spans="1:20" x14ac:dyDescent="0.3">
      <c r="A368">
        <v>3539059</v>
      </c>
      <c r="B368" s="8" t="s">
        <v>865</v>
      </c>
      <c r="C368" s="9" t="s">
        <v>48</v>
      </c>
      <c r="D368" s="8">
        <v>3000469.7</v>
      </c>
      <c r="E368">
        <v>3000000</v>
      </c>
      <c r="F368" t="s">
        <v>22</v>
      </c>
      <c r="G368" t="s">
        <v>23</v>
      </c>
      <c r="H368" s="10">
        <v>34513</v>
      </c>
      <c r="I368" s="10" t="s">
        <v>866</v>
      </c>
      <c r="K368" t="s">
        <v>25</v>
      </c>
      <c r="L368" t="s">
        <v>867</v>
      </c>
      <c r="M368" t="s">
        <v>64</v>
      </c>
      <c r="N368" s="11" t="str">
        <f>Base_CRM[[#This Row],[Cidade]]&amp;"/"&amp;Base_CRM[[#This Row],[Estado]]</f>
        <v>SALVADOR/</v>
      </c>
      <c r="O368" s="12">
        <f>IFERROR(IF(Base_CRM[[#This Row],[PL Tailor]]&gt;Base_CRM[[#This Row],[PL Declarado]],1,Base_CRM[[#This Row],[PL Tailor]]/Base_CRM[[#This Row],[PL Declarado]]),0)</f>
        <v>1</v>
      </c>
      <c r="P368" s="11" t="str">
        <f>IF(Base_CRM[[#This Row],[Estado Civil]]="","PESSOA JURÍDICA","PESSOA FÍSICA")</f>
        <v>PESSOA FÍSICA</v>
      </c>
      <c r="Q368" t="str">
        <f>_xlfn.XLOOKUP(Base_CRM[[#This Row],[Cód do Cliente]],'[1]F &amp; O'!$A:$A,'[1]F &amp; O'!$F:$F,_xlfn.XLOOKUP(Base_CRM[[#This Row],[Assessor]],[1]DePara!$A:$A,[1]DePara!$D:$D,"Outros",0,1),0,1)</f>
        <v>Raphael Farias</v>
      </c>
      <c r="R368" s="11" t="str">
        <f>_xlfn.XLOOKUP(Base_CRM[[#This Row],[Cód do Cliente]],'[1]F &amp; O'!$A:$A,'[1]F &amp; O'!D:D,"Sem Finder",0,1)</f>
        <v>Sem Finder</v>
      </c>
      <c r="S368" s="11" t="str">
        <f>_xlfn.XLOOKUP(Base_CRM[[#This Row],[Cód do Cliente]],'[1]F &amp; O'!$A:$A,'[1]F &amp; O'!E:E,"Sem Canal",0,1)</f>
        <v>Sem Canal</v>
      </c>
      <c r="T368" s="11" t="str">
        <f t="shared" si="5"/>
        <v>Cliente XP</v>
      </c>
    </row>
    <row r="369" spans="1:20" x14ac:dyDescent="0.3">
      <c r="A369">
        <v>3552532</v>
      </c>
      <c r="B369" s="8" t="s">
        <v>868</v>
      </c>
      <c r="C369" s="9" t="s">
        <v>39</v>
      </c>
      <c r="D369" s="8">
        <v>101869.56</v>
      </c>
      <c r="E369">
        <v>70000</v>
      </c>
      <c r="F369" t="s">
        <v>29</v>
      </c>
      <c r="G369" t="s">
        <v>87</v>
      </c>
      <c r="H369" s="10">
        <v>33682</v>
      </c>
      <c r="I369" s="10" t="s">
        <v>115</v>
      </c>
      <c r="K369" t="s">
        <v>42</v>
      </c>
      <c r="L369" t="s">
        <v>869</v>
      </c>
      <c r="N369" s="11" t="str">
        <f>Base_CRM[[#This Row],[Cidade]]&amp;"/"&amp;Base_CRM[[#This Row],[Estado]]</f>
        <v>BARUERI/</v>
      </c>
      <c r="O369" s="12">
        <f>IFERROR(IF(Base_CRM[[#This Row],[PL Tailor]]&gt;Base_CRM[[#This Row],[PL Declarado]],1,Base_CRM[[#This Row],[PL Tailor]]/Base_CRM[[#This Row],[PL Declarado]]),0)</f>
        <v>1</v>
      </c>
      <c r="P369" s="11" t="str">
        <f>IF(Base_CRM[[#This Row],[Estado Civil]]="","PESSOA JURÍDICA","PESSOA FÍSICA")</f>
        <v>PESSOA FÍSICA</v>
      </c>
      <c r="Q369" t="str">
        <f>_xlfn.XLOOKUP(Base_CRM[[#This Row],[Cód do Cliente]],'[1]F &amp; O'!$A:$A,'[1]F &amp; O'!$F:$F,_xlfn.XLOOKUP(Base_CRM[[#This Row],[Assessor]],[1]DePara!$A:$A,[1]DePara!$D:$D,"Outros",0,1),0,1)</f>
        <v>Gestora</v>
      </c>
      <c r="R369" s="11" t="str">
        <f>_xlfn.XLOOKUP(Base_CRM[[#This Row],[Cód do Cliente]],'[1]F &amp; O'!$A:$A,'[1]F &amp; O'!D:D,"Sem Finder",0,1)</f>
        <v>Sem Finder</v>
      </c>
      <c r="S369" s="11" t="str">
        <f>_xlfn.XLOOKUP(Base_CRM[[#This Row],[Cód do Cliente]],'[1]F &amp; O'!$A:$A,'[1]F &amp; O'!E:E,"Sem Canal",0,1)</f>
        <v>Gestora</v>
      </c>
      <c r="T369" s="11" t="str">
        <f t="shared" si="5"/>
        <v>Cliente XP</v>
      </c>
    </row>
    <row r="370" spans="1:20" x14ac:dyDescent="0.3">
      <c r="A370">
        <v>3563023</v>
      </c>
      <c r="B370" s="8" t="s">
        <v>870</v>
      </c>
      <c r="C370" s="9" t="s">
        <v>34</v>
      </c>
      <c r="D370" s="8">
        <v>1186822.3999999999</v>
      </c>
      <c r="E370">
        <v>1200000</v>
      </c>
      <c r="F370" t="s">
        <v>29</v>
      </c>
      <c r="G370" t="s">
        <v>228</v>
      </c>
      <c r="H370" s="10">
        <v>33531</v>
      </c>
      <c r="I370" s="10" t="s">
        <v>136</v>
      </c>
      <c r="K370" t="s">
        <v>25</v>
      </c>
      <c r="L370" t="s">
        <v>871</v>
      </c>
      <c r="N370" s="11" t="str">
        <f>Base_CRM[[#This Row],[Cidade]]&amp;"/"&amp;Base_CRM[[#This Row],[Estado]]</f>
        <v>BRAZOPOLIS/</v>
      </c>
      <c r="O370" s="12">
        <f>IFERROR(IF(Base_CRM[[#This Row],[PL Tailor]]&gt;Base_CRM[[#This Row],[PL Declarado]],1,Base_CRM[[#This Row],[PL Tailor]]/Base_CRM[[#This Row],[PL Declarado]]),0)</f>
        <v>0.9890186666666666</v>
      </c>
      <c r="P370" s="11" t="str">
        <f>IF(Base_CRM[[#This Row],[Estado Civil]]="","PESSOA JURÍDICA","PESSOA FÍSICA")</f>
        <v>PESSOA FÍSICA</v>
      </c>
      <c r="Q370" t="str">
        <f>_xlfn.XLOOKUP(Base_CRM[[#This Row],[Cód do Cliente]],'[1]F &amp; O'!$A:$A,'[1]F &amp; O'!$F:$F,_xlfn.XLOOKUP(Base_CRM[[#This Row],[Assessor]],[1]DePara!$A:$A,[1]DePara!$D:$D,"Outros",0,1),0,1)</f>
        <v>Adonias Noronha</v>
      </c>
      <c r="R370" s="11" t="str">
        <f>_xlfn.XLOOKUP(Base_CRM[[#This Row],[Cód do Cliente]],'[1]F &amp; O'!$A:$A,'[1]F &amp; O'!D:D,"Sem Finder",0,1)</f>
        <v>Sem Finder</v>
      </c>
      <c r="S370" s="11" t="str">
        <f>_xlfn.XLOOKUP(Base_CRM[[#This Row],[Cód do Cliente]],'[1]F &amp; O'!$A:$A,'[1]F &amp; O'!E:E,"Sem Canal",0,1)</f>
        <v>Sem Canal</v>
      </c>
      <c r="T370" s="11" t="str">
        <f t="shared" si="5"/>
        <v>Cliente XP</v>
      </c>
    </row>
    <row r="371" spans="1:20" x14ac:dyDescent="0.3">
      <c r="A371">
        <v>357443</v>
      </c>
      <c r="B371" s="8" t="s">
        <v>872</v>
      </c>
      <c r="C371" s="9" t="s">
        <v>48</v>
      </c>
      <c r="D371" s="8">
        <v>38487.57</v>
      </c>
      <c r="E371">
        <v>40000</v>
      </c>
      <c r="F371" t="s">
        <v>22</v>
      </c>
      <c r="G371" t="s">
        <v>87</v>
      </c>
      <c r="H371" s="10">
        <v>29157</v>
      </c>
      <c r="I371" s="10" t="s">
        <v>160</v>
      </c>
      <c r="K371" t="s">
        <v>42</v>
      </c>
      <c r="L371" t="s">
        <v>873</v>
      </c>
      <c r="N371" s="11" t="str">
        <f>Base_CRM[[#This Row],[Cidade]]&amp;"/"&amp;Base_CRM[[#This Row],[Estado]]</f>
        <v>GUARULHOS/</v>
      </c>
      <c r="O371" s="12">
        <f>IFERROR(IF(Base_CRM[[#This Row],[PL Tailor]]&gt;Base_CRM[[#This Row],[PL Declarado]],1,Base_CRM[[#This Row],[PL Tailor]]/Base_CRM[[#This Row],[PL Declarado]]),0)</f>
        <v>0.96218925</v>
      </c>
      <c r="P371" s="11" t="str">
        <f>IF(Base_CRM[[#This Row],[Estado Civil]]="","PESSOA JURÍDICA","PESSOA FÍSICA")</f>
        <v>PESSOA FÍSICA</v>
      </c>
      <c r="Q371" t="str">
        <f>_xlfn.XLOOKUP(Base_CRM[[#This Row],[Cód do Cliente]],'[1]F &amp; O'!$A:$A,'[1]F &amp; O'!$F:$F,_xlfn.XLOOKUP(Base_CRM[[#This Row],[Assessor]],[1]DePara!$A:$A,[1]DePara!$D:$D,"Outros",0,1),0,1)</f>
        <v>Raphael Farias</v>
      </c>
      <c r="R371" s="11" t="str">
        <f>_xlfn.XLOOKUP(Base_CRM[[#This Row],[Cód do Cliente]],'[1]F &amp; O'!$A:$A,'[1]F &amp; O'!D:D,"Sem Finder",0,1)</f>
        <v>Sem Finder</v>
      </c>
      <c r="S371" s="11" t="str">
        <f>_xlfn.XLOOKUP(Base_CRM[[#This Row],[Cód do Cliente]],'[1]F &amp; O'!$A:$A,'[1]F &amp; O'!E:E,"Sem Canal",0,1)</f>
        <v>Sem Canal</v>
      </c>
      <c r="T371" s="11" t="str">
        <f t="shared" si="5"/>
        <v>Cliente XP</v>
      </c>
    </row>
    <row r="372" spans="1:20" x14ac:dyDescent="0.3">
      <c r="A372">
        <v>3584873</v>
      </c>
      <c r="B372" s="8" t="s">
        <v>874</v>
      </c>
      <c r="C372" s="9" t="s">
        <v>39</v>
      </c>
      <c r="D372" s="8">
        <v>2091.96</v>
      </c>
      <c r="E372">
        <v>1</v>
      </c>
      <c r="F372" t="s">
        <v>29</v>
      </c>
      <c r="G372" t="s">
        <v>67</v>
      </c>
      <c r="H372" s="10">
        <v>32122</v>
      </c>
      <c r="I372" s="10" t="s">
        <v>285</v>
      </c>
      <c r="K372" t="s">
        <v>42</v>
      </c>
      <c r="L372" t="s">
        <v>875</v>
      </c>
      <c r="N372" s="11" t="str">
        <f>Base_CRM[[#This Row],[Cidade]]&amp;"/"&amp;Base_CRM[[#This Row],[Estado]]</f>
        <v>SANTANA DE PARNAIBA/</v>
      </c>
      <c r="O372" s="12">
        <f>IFERROR(IF(Base_CRM[[#This Row],[PL Tailor]]&gt;Base_CRM[[#This Row],[PL Declarado]],1,Base_CRM[[#This Row],[PL Tailor]]/Base_CRM[[#This Row],[PL Declarado]]),0)</f>
        <v>1</v>
      </c>
      <c r="P372" s="11" t="str">
        <f>IF(Base_CRM[[#This Row],[Estado Civil]]="","PESSOA JURÍDICA","PESSOA FÍSICA")</f>
        <v>PESSOA FÍSICA</v>
      </c>
      <c r="Q372" t="str">
        <f>_xlfn.XLOOKUP(Base_CRM[[#This Row],[Cód do Cliente]],'[1]F &amp; O'!$A:$A,'[1]F &amp; O'!$F:$F,_xlfn.XLOOKUP(Base_CRM[[#This Row],[Assessor]],[1]DePara!$A:$A,[1]DePara!$D:$D,"Outros",0,1),0,1)</f>
        <v>Gestora</v>
      </c>
      <c r="R372" s="11" t="str">
        <f>_xlfn.XLOOKUP(Base_CRM[[#This Row],[Cód do Cliente]],'[1]F &amp; O'!$A:$A,'[1]F &amp; O'!D:D,"Sem Finder",0,1)</f>
        <v>Sem Finder</v>
      </c>
      <c r="S372" s="11" t="str">
        <f>_xlfn.XLOOKUP(Base_CRM[[#This Row],[Cód do Cliente]],'[1]F &amp; O'!$A:$A,'[1]F &amp; O'!E:E,"Sem Canal",0,1)</f>
        <v>Gestora</v>
      </c>
      <c r="T372" s="11" t="str">
        <f t="shared" si="5"/>
        <v>Cliente XP</v>
      </c>
    </row>
    <row r="373" spans="1:20" x14ac:dyDescent="0.3">
      <c r="A373">
        <v>3608234</v>
      </c>
      <c r="B373" s="8" t="s">
        <v>876</v>
      </c>
      <c r="C373" s="9" t="s">
        <v>103</v>
      </c>
      <c r="D373" s="8">
        <v>5962.69</v>
      </c>
      <c r="E373">
        <v>20000</v>
      </c>
      <c r="F373" t="s">
        <v>22</v>
      </c>
      <c r="G373" t="s">
        <v>57</v>
      </c>
      <c r="H373" s="10">
        <v>35060</v>
      </c>
      <c r="I373" s="10" t="s">
        <v>84</v>
      </c>
      <c r="K373" t="s">
        <v>25</v>
      </c>
      <c r="L373" t="s">
        <v>877</v>
      </c>
      <c r="N373" s="11" t="str">
        <f>Base_CRM[[#This Row],[Cidade]]&amp;"/"&amp;Base_CRM[[#This Row],[Estado]]</f>
        <v>NITEROI/</v>
      </c>
      <c r="O373" s="12">
        <f>IFERROR(IF(Base_CRM[[#This Row],[PL Tailor]]&gt;Base_CRM[[#This Row],[PL Declarado]],1,Base_CRM[[#This Row],[PL Tailor]]/Base_CRM[[#This Row],[PL Declarado]]),0)</f>
        <v>0.29813449999999997</v>
      </c>
      <c r="P373" s="11" t="str">
        <f>IF(Base_CRM[[#This Row],[Estado Civil]]="","PESSOA JURÍDICA","PESSOA FÍSICA")</f>
        <v>PESSOA FÍSICA</v>
      </c>
      <c r="Q373" t="str">
        <f>_xlfn.XLOOKUP(Base_CRM[[#This Row],[Cód do Cliente]],'[1]F &amp; O'!$A:$A,'[1]F &amp; O'!$F:$F,_xlfn.XLOOKUP(Base_CRM[[#This Row],[Assessor]],[1]DePara!$A:$A,[1]DePara!$D:$D,"Outros",0,1),0,1)</f>
        <v>Raphael Pereira</v>
      </c>
      <c r="R373" s="11" t="str">
        <f>_xlfn.XLOOKUP(Base_CRM[[#This Row],[Cód do Cliente]],'[1]F &amp; O'!$A:$A,'[1]F &amp; O'!D:D,"Sem Finder",0,1)</f>
        <v>Sem Finder</v>
      </c>
      <c r="S373" s="11" t="str">
        <f>_xlfn.XLOOKUP(Base_CRM[[#This Row],[Cód do Cliente]],'[1]F &amp; O'!$A:$A,'[1]F &amp; O'!E:E,"Sem Canal",0,1)</f>
        <v>Sem Canal</v>
      </c>
      <c r="T373" s="11" t="str">
        <f t="shared" si="5"/>
        <v>Cliente XP</v>
      </c>
    </row>
    <row r="374" spans="1:20" x14ac:dyDescent="0.3">
      <c r="A374">
        <v>3616099</v>
      </c>
      <c r="B374" s="8" t="s">
        <v>878</v>
      </c>
      <c r="C374" s="9" t="s">
        <v>74</v>
      </c>
      <c r="D374" s="8">
        <v>331456.39</v>
      </c>
      <c r="E374">
        <v>20000</v>
      </c>
      <c r="F374" t="s">
        <v>22</v>
      </c>
      <c r="G374" t="s">
        <v>87</v>
      </c>
      <c r="H374" s="10">
        <v>30300</v>
      </c>
      <c r="I374" s="10" t="s">
        <v>31</v>
      </c>
      <c r="K374" t="s">
        <v>42</v>
      </c>
      <c r="L374" t="s">
        <v>879</v>
      </c>
      <c r="N374" s="11" t="str">
        <f>Base_CRM[[#This Row],[Cidade]]&amp;"/"&amp;Base_CRM[[#This Row],[Estado]]</f>
        <v>SAO PAULO/</v>
      </c>
      <c r="O374" s="12">
        <f>IFERROR(IF(Base_CRM[[#This Row],[PL Tailor]]&gt;Base_CRM[[#This Row],[PL Declarado]],1,Base_CRM[[#This Row],[PL Tailor]]/Base_CRM[[#This Row],[PL Declarado]]),0)</f>
        <v>1</v>
      </c>
      <c r="P374" s="11" t="str">
        <f>IF(Base_CRM[[#This Row],[Estado Civil]]="","PESSOA JURÍDICA","PESSOA FÍSICA")</f>
        <v>PESSOA FÍSICA</v>
      </c>
      <c r="Q374" t="str">
        <f>_xlfn.XLOOKUP(Base_CRM[[#This Row],[Cód do Cliente]],'[1]F &amp; O'!$A:$A,'[1]F &amp; O'!$F:$F,_xlfn.XLOOKUP(Base_CRM[[#This Row],[Assessor]],[1]DePara!$A:$A,[1]DePara!$D:$D,"Outros",0,1),0,1)</f>
        <v>Thayane Freitas</v>
      </c>
      <c r="R374" s="11" t="str">
        <f>_xlfn.XLOOKUP(Base_CRM[[#This Row],[Cód do Cliente]],'[1]F &amp; O'!$A:$A,'[1]F &amp; O'!D:D,"Sem Finder",0,1)</f>
        <v>José De Marchi</v>
      </c>
      <c r="S374" s="11" t="str">
        <f>_xlfn.XLOOKUP(Base_CRM[[#This Row],[Cód do Cliente]],'[1]F &amp; O'!$A:$A,'[1]F &amp; O'!E:E,"Sem Canal",0,1)</f>
        <v>Sem Canal</v>
      </c>
      <c r="T374" s="11" t="str">
        <f t="shared" si="5"/>
        <v>Cliente XP</v>
      </c>
    </row>
    <row r="375" spans="1:20" x14ac:dyDescent="0.3">
      <c r="A375">
        <v>3627878</v>
      </c>
      <c r="B375" s="8" t="s">
        <v>880</v>
      </c>
      <c r="C375" s="9" t="s">
        <v>103</v>
      </c>
      <c r="D375" s="8">
        <v>50219.45</v>
      </c>
      <c r="E375">
        <v>72000</v>
      </c>
      <c r="F375" t="s">
        <v>29</v>
      </c>
      <c r="G375" t="s">
        <v>71</v>
      </c>
      <c r="H375" s="10">
        <v>20600</v>
      </c>
      <c r="I375" s="10" t="s">
        <v>24</v>
      </c>
      <c r="K375" t="s">
        <v>68</v>
      </c>
      <c r="L375" t="s">
        <v>881</v>
      </c>
      <c r="N375" s="11" t="str">
        <f>Base_CRM[[#This Row],[Cidade]]&amp;"/"&amp;Base_CRM[[#This Row],[Estado]]</f>
        <v>RIO DE JANEIRO/</v>
      </c>
      <c r="O375" s="12">
        <f>IFERROR(IF(Base_CRM[[#This Row],[PL Tailor]]&gt;Base_CRM[[#This Row],[PL Declarado]],1,Base_CRM[[#This Row],[PL Tailor]]/Base_CRM[[#This Row],[PL Declarado]]),0)</f>
        <v>0.69749236111111113</v>
      </c>
      <c r="P375" s="11" t="str">
        <f>IF(Base_CRM[[#This Row],[Estado Civil]]="","PESSOA JURÍDICA","PESSOA FÍSICA")</f>
        <v>PESSOA FÍSICA</v>
      </c>
      <c r="Q375" t="str">
        <f>_xlfn.XLOOKUP(Base_CRM[[#This Row],[Cód do Cliente]],'[1]F &amp; O'!$A:$A,'[1]F &amp; O'!$F:$F,_xlfn.XLOOKUP(Base_CRM[[#This Row],[Assessor]],[1]DePara!$A:$A,[1]DePara!$D:$D,"Outros",0,1),0,1)</f>
        <v>Raphael Pereira</v>
      </c>
      <c r="R375" s="11" t="str">
        <f>_xlfn.XLOOKUP(Base_CRM[[#This Row],[Cód do Cliente]],'[1]F &amp; O'!$A:$A,'[1]F &amp; O'!D:D,"Sem Finder",0,1)</f>
        <v>Sem Finder</v>
      </c>
      <c r="S375" s="11" t="str">
        <f>_xlfn.XLOOKUP(Base_CRM[[#This Row],[Cód do Cliente]],'[1]F &amp; O'!$A:$A,'[1]F &amp; O'!E:E,"Sem Canal",0,1)</f>
        <v>Sem Canal</v>
      </c>
      <c r="T375" s="11" t="str">
        <f t="shared" si="5"/>
        <v>Cliente XP</v>
      </c>
    </row>
    <row r="376" spans="1:20" x14ac:dyDescent="0.3">
      <c r="A376">
        <v>3628928</v>
      </c>
      <c r="B376" s="8" t="s">
        <v>882</v>
      </c>
      <c r="C376" s="9" t="s">
        <v>39</v>
      </c>
      <c r="D376" s="8">
        <v>6493734.0099999998</v>
      </c>
      <c r="E376">
        <v>10000000</v>
      </c>
      <c r="F376" t="s">
        <v>22</v>
      </c>
      <c r="G376" t="s">
        <v>87</v>
      </c>
      <c r="H376" s="10">
        <v>19925</v>
      </c>
      <c r="I376" s="10" t="s">
        <v>31</v>
      </c>
      <c r="K376" t="s">
        <v>42</v>
      </c>
      <c r="L376" t="s">
        <v>883</v>
      </c>
      <c r="N376" s="11" t="str">
        <f>Base_CRM[[#This Row],[Cidade]]&amp;"/"&amp;Base_CRM[[#This Row],[Estado]]</f>
        <v>SAO PAULO/</v>
      </c>
      <c r="O376" s="12">
        <f>IFERROR(IF(Base_CRM[[#This Row],[PL Tailor]]&gt;Base_CRM[[#This Row],[PL Declarado]],1,Base_CRM[[#This Row],[PL Tailor]]/Base_CRM[[#This Row],[PL Declarado]]),0)</f>
        <v>0.64937340099999996</v>
      </c>
      <c r="P376" s="11" t="str">
        <f>IF(Base_CRM[[#This Row],[Estado Civil]]="","PESSOA JURÍDICA","PESSOA FÍSICA")</f>
        <v>PESSOA FÍSICA</v>
      </c>
      <c r="Q376" t="str">
        <f>_xlfn.XLOOKUP(Base_CRM[[#This Row],[Cód do Cliente]],'[1]F &amp; O'!$A:$A,'[1]F &amp; O'!$F:$F,_xlfn.XLOOKUP(Base_CRM[[#This Row],[Assessor]],[1]DePara!$A:$A,[1]DePara!$D:$D,"Outros",0,1),0,1)</f>
        <v>Gestora</v>
      </c>
      <c r="R376" s="11" t="str">
        <f>_xlfn.XLOOKUP(Base_CRM[[#This Row],[Cód do Cliente]],'[1]F &amp; O'!$A:$A,'[1]F &amp; O'!D:D,"Sem Finder",0,1)</f>
        <v>Sem Finder</v>
      </c>
      <c r="S376" s="11" t="str">
        <f>_xlfn.XLOOKUP(Base_CRM[[#This Row],[Cód do Cliente]],'[1]F &amp; O'!$A:$A,'[1]F &amp; O'!E:E,"Sem Canal",0,1)</f>
        <v>Gestora</v>
      </c>
      <c r="T376" s="11" t="str">
        <f t="shared" si="5"/>
        <v>Cliente XP</v>
      </c>
    </row>
    <row r="377" spans="1:20" x14ac:dyDescent="0.3">
      <c r="A377">
        <v>3637639</v>
      </c>
      <c r="B377" s="8" t="s">
        <v>884</v>
      </c>
      <c r="C377" s="9" t="s">
        <v>48</v>
      </c>
      <c r="D377" s="8">
        <v>827333.06</v>
      </c>
      <c r="E377">
        <v>0.01</v>
      </c>
      <c r="F377" t="s">
        <v>29</v>
      </c>
      <c r="G377" t="s">
        <v>67</v>
      </c>
      <c r="H377" s="10">
        <v>29578</v>
      </c>
      <c r="I377" s="10" t="s">
        <v>115</v>
      </c>
      <c r="K377" t="s">
        <v>68</v>
      </c>
      <c r="L377" t="s">
        <v>885</v>
      </c>
      <c r="M377" t="s">
        <v>886</v>
      </c>
      <c r="N377" s="11" t="str">
        <f>Base_CRM[[#This Row],[Cidade]]&amp;"/"&amp;Base_CRM[[#This Row],[Estado]]</f>
        <v>BARUERI/</v>
      </c>
      <c r="O377" s="12">
        <f>IFERROR(IF(Base_CRM[[#This Row],[PL Tailor]]&gt;Base_CRM[[#This Row],[PL Declarado]],1,Base_CRM[[#This Row],[PL Tailor]]/Base_CRM[[#This Row],[PL Declarado]]),0)</f>
        <v>1</v>
      </c>
      <c r="P377" s="11" t="str">
        <f>IF(Base_CRM[[#This Row],[Estado Civil]]="","PESSOA JURÍDICA","PESSOA FÍSICA")</f>
        <v>PESSOA FÍSICA</v>
      </c>
      <c r="Q377" t="str">
        <f>_xlfn.XLOOKUP(Base_CRM[[#This Row],[Cód do Cliente]],'[1]F &amp; O'!$A:$A,'[1]F &amp; O'!$F:$F,_xlfn.XLOOKUP(Base_CRM[[#This Row],[Assessor]],[1]DePara!$A:$A,[1]DePara!$D:$D,"Outros",0,1),0,1)</f>
        <v>Raphael Farias</v>
      </c>
      <c r="R377" s="11" t="str">
        <f>_xlfn.XLOOKUP(Base_CRM[[#This Row],[Cód do Cliente]],'[1]F &amp; O'!$A:$A,'[1]F &amp; O'!D:D,"Sem Finder",0,1)</f>
        <v>Sem Finder</v>
      </c>
      <c r="S377" s="11" t="str">
        <f>_xlfn.XLOOKUP(Base_CRM[[#This Row],[Cód do Cliente]],'[1]F &amp; O'!$A:$A,'[1]F &amp; O'!E:E,"Sem Canal",0,1)</f>
        <v>Sem Canal</v>
      </c>
      <c r="T377" s="11" t="str">
        <f t="shared" si="5"/>
        <v>Cliente XP</v>
      </c>
    </row>
    <row r="378" spans="1:20" x14ac:dyDescent="0.3">
      <c r="A378">
        <v>3699035</v>
      </c>
      <c r="B378" s="8" t="s">
        <v>887</v>
      </c>
      <c r="C378" s="9" t="s">
        <v>103</v>
      </c>
      <c r="D378" s="8">
        <v>200362.74</v>
      </c>
      <c r="E378">
        <v>2000000</v>
      </c>
      <c r="F378" t="s">
        <v>22</v>
      </c>
      <c r="G378" t="s">
        <v>334</v>
      </c>
      <c r="H378" s="10">
        <v>21615</v>
      </c>
      <c r="I378" s="10" t="s">
        <v>24</v>
      </c>
      <c r="K378" t="s">
        <v>42</v>
      </c>
      <c r="L378" t="s">
        <v>888</v>
      </c>
      <c r="M378" t="s">
        <v>60</v>
      </c>
      <c r="N378" s="11" t="str">
        <f>Base_CRM[[#This Row],[Cidade]]&amp;"/"&amp;Base_CRM[[#This Row],[Estado]]</f>
        <v>RIO DE JANEIRO/</v>
      </c>
      <c r="O378" s="12">
        <f>IFERROR(IF(Base_CRM[[#This Row],[PL Tailor]]&gt;Base_CRM[[#This Row],[PL Declarado]],1,Base_CRM[[#This Row],[PL Tailor]]/Base_CRM[[#This Row],[PL Declarado]]),0)</f>
        <v>0.10018136999999999</v>
      </c>
      <c r="P378" s="11" t="str">
        <f>IF(Base_CRM[[#This Row],[Estado Civil]]="","PESSOA JURÍDICA","PESSOA FÍSICA")</f>
        <v>PESSOA FÍSICA</v>
      </c>
      <c r="Q378" t="str">
        <f>_xlfn.XLOOKUP(Base_CRM[[#This Row],[Cód do Cliente]],'[1]F &amp; O'!$A:$A,'[1]F &amp; O'!$F:$F,_xlfn.XLOOKUP(Base_CRM[[#This Row],[Assessor]],[1]DePara!$A:$A,[1]DePara!$D:$D,"Outros",0,1),0,1)</f>
        <v>Raphael Pereira</v>
      </c>
      <c r="R378" s="11" t="str">
        <f>_xlfn.XLOOKUP(Base_CRM[[#This Row],[Cód do Cliente]],'[1]F &amp; O'!$A:$A,'[1]F &amp; O'!D:D,"Sem Finder",0,1)</f>
        <v>Sem Finder</v>
      </c>
      <c r="S378" s="11" t="str">
        <f>_xlfn.XLOOKUP(Base_CRM[[#This Row],[Cód do Cliente]],'[1]F &amp; O'!$A:$A,'[1]F &amp; O'!E:E,"Sem Canal",0,1)</f>
        <v>Sem Canal</v>
      </c>
      <c r="T378" s="11" t="str">
        <f t="shared" si="5"/>
        <v>Cliente XP</v>
      </c>
    </row>
    <row r="379" spans="1:20" x14ac:dyDescent="0.3">
      <c r="A379">
        <v>3725830</v>
      </c>
      <c r="B379" s="8" t="s">
        <v>889</v>
      </c>
      <c r="C379" s="9" t="s">
        <v>103</v>
      </c>
      <c r="D379" s="8">
        <v>772562.69</v>
      </c>
      <c r="E379">
        <v>1400000</v>
      </c>
      <c r="F379" t="s">
        <v>22</v>
      </c>
      <c r="G379" t="s">
        <v>334</v>
      </c>
      <c r="H379" s="10">
        <v>22100</v>
      </c>
      <c r="I379" s="10" t="s">
        <v>24</v>
      </c>
      <c r="K379" t="s">
        <v>42</v>
      </c>
      <c r="L379" t="s">
        <v>890</v>
      </c>
      <c r="M379" t="s">
        <v>891</v>
      </c>
      <c r="N379" s="11" t="str">
        <f>Base_CRM[[#This Row],[Cidade]]&amp;"/"&amp;Base_CRM[[#This Row],[Estado]]</f>
        <v>RIO DE JANEIRO/</v>
      </c>
      <c r="O379" s="12">
        <f>IFERROR(IF(Base_CRM[[#This Row],[PL Tailor]]&gt;Base_CRM[[#This Row],[PL Declarado]],1,Base_CRM[[#This Row],[PL Tailor]]/Base_CRM[[#This Row],[PL Declarado]]),0)</f>
        <v>0.55183049285714281</v>
      </c>
      <c r="P379" s="11" t="str">
        <f>IF(Base_CRM[[#This Row],[Estado Civil]]="","PESSOA JURÍDICA","PESSOA FÍSICA")</f>
        <v>PESSOA FÍSICA</v>
      </c>
      <c r="Q379" t="str">
        <f>_xlfn.XLOOKUP(Base_CRM[[#This Row],[Cód do Cliente]],'[1]F &amp; O'!$A:$A,'[1]F &amp; O'!$F:$F,_xlfn.XLOOKUP(Base_CRM[[#This Row],[Assessor]],[1]DePara!$A:$A,[1]DePara!$D:$D,"Outros",0,1),0,1)</f>
        <v>Raphael Pereira</v>
      </c>
      <c r="R379" s="11" t="str">
        <f>_xlfn.XLOOKUP(Base_CRM[[#This Row],[Cód do Cliente]],'[1]F &amp; O'!$A:$A,'[1]F &amp; O'!D:D,"Sem Finder",0,1)</f>
        <v>Sem Finder</v>
      </c>
      <c r="S379" s="11" t="str">
        <f>_xlfn.XLOOKUP(Base_CRM[[#This Row],[Cód do Cliente]],'[1]F &amp; O'!$A:$A,'[1]F &amp; O'!E:E,"Sem Canal",0,1)</f>
        <v>Sem Canal</v>
      </c>
      <c r="T379" s="11" t="str">
        <f t="shared" si="5"/>
        <v>Cliente XP</v>
      </c>
    </row>
    <row r="380" spans="1:20" x14ac:dyDescent="0.3">
      <c r="A380">
        <v>3726441</v>
      </c>
      <c r="B380" s="8" t="s">
        <v>892</v>
      </c>
      <c r="C380" s="9" t="s">
        <v>34</v>
      </c>
      <c r="D380" s="8">
        <v>245672.38</v>
      </c>
      <c r="E380">
        <v>1000000</v>
      </c>
      <c r="F380" t="s">
        <v>22</v>
      </c>
      <c r="G380" t="s">
        <v>35</v>
      </c>
      <c r="H380" s="10">
        <v>36724</v>
      </c>
      <c r="I380" s="10" t="s">
        <v>370</v>
      </c>
      <c r="K380" t="s">
        <v>25</v>
      </c>
      <c r="L380" t="s">
        <v>893</v>
      </c>
      <c r="M380" t="s">
        <v>60</v>
      </c>
      <c r="N380" s="11" t="str">
        <f>Base_CRM[[#This Row],[Cidade]]&amp;"/"&amp;Base_CRM[[#This Row],[Estado]]</f>
        <v>MARINGA/</v>
      </c>
      <c r="O380" s="12">
        <f>IFERROR(IF(Base_CRM[[#This Row],[PL Tailor]]&gt;Base_CRM[[#This Row],[PL Declarado]],1,Base_CRM[[#This Row],[PL Tailor]]/Base_CRM[[#This Row],[PL Declarado]]),0)</f>
        <v>0.24567238</v>
      </c>
      <c r="P380" s="11" t="str">
        <f>IF(Base_CRM[[#This Row],[Estado Civil]]="","PESSOA JURÍDICA","PESSOA FÍSICA")</f>
        <v>PESSOA FÍSICA</v>
      </c>
      <c r="Q380" t="str">
        <f>_xlfn.XLOOKUP(Base_CRM[[#This Row],[Cód do Cliente]],'[1]F &amp; O'!$A:$A,'[1]F &amp; O'!$F:$F,_xlfn.XLOOKUP(Base_CRM[[#This Row],[Assessor]],[1]DePara!$A:$A,[1]DePara!$D:$D,"Outros",0,1),0,1)</f>
        <v>Adonias Noronha</v>
      </c>
      <c r="R380" s="11" t="str">
        <f>_xlfn.XLOOKUP(Base_CRM[[#This Row],[Cód do Cliente]],'[1]F &amp; O'!$A:$A,'[1]F &amp; O'!D:D,"Sem Finder",0,1)</f>
        <v>Sem Finder</v>
      </c>
      <c r="S380" s="11" t="str">
        <f>_xlfn.XLOOKUP(Base_CRM[[#This Row],[Cód do Cliente]],'[1]F &amp; O'!$A:$A,'[1]F &amp; O'!E:E,"Sem Canal",0,1)</f>
        <v>Sem Canal</v>
      </c>
      <c r="T380" s="11" t="str">
        <f t="shared" si="5"/>
        <v>Cliente XP</v>
      </c>
    </row>
    <row r="381" spans="1:20" x14ac:dyDescent="0.3">
      <c r="A381">
        <v>3730356</v>
      </c>
      <c r="B381" s="8" t="s">
        <v>894</v>
      </c>
      <c r="C381" s="9" t="s">
        <v>39</v>
      </c>
      <c r="D381" s="8">
        <v>6132414.75</v>
      </c>
      <c r="E381">
        <v>4000000</v>
      </c>
      <c r="F381" t="s">
        <v>22</v>
      </c>
      <c r="G381" t="s">
        <v>96</v>
      </c>
      <c r="H381" s="10">
        <v>24919</v>
      </c>
      <c r="I381" s="10" t="s">
        <v>370</v>
      </c>
      <c r="K381" t="s">
        <v>42</v>
      </c>
      <c r="L381" t="s">
        <v>895</v>
      </c>
      <c r="M381" t="s">
        <v>60</v>
      </c>
      <c r="N381" s="11" t="str">
        <f>Base_CRM[[#This Row],[Cidade]]&amp;"/"&amp;Base_CRM[[#This Row],[Estado]]</f>
        <v>MARINGA/</v>
      </c>
      <c r="O381" s="12">
        <f>IFERROR(IF(Base_CRM[[#This Row],[PL Tailor]]&gt;Base_CRM[[#This Row],[PL Declarado]],1,Base_CRM[[#This Row],[PL Tailor]]/Base_CRM[[#This Row],[PL Declarado]]),0)</f>
        <v>1</v>
      </c>
      <c r="P381" s="11" t="str">
        <f>IF(Base_CRM[[#This Row],[Estado Civil]]="","PESSOA JURÍDICA","PESSOA FÍSICA")</f>
        <v>PESSOA FÍSICA</v>
      </c>
      <c r="Q381" t="str">
        <f>_xlfn.XLOOKUP(Base_CRM[[#This Row],[Cód do Cliente]],'[1]F &amp; O'!$A:$A,'[1]F &amp; O'!$F:$F,_xlfn.XLOOKUP(Base_CRM[[#This Row],[Assessor]],[1]DePara!$A:$A,[1]DePara!$D:$D,"Outros",0,1),0,1)</f>
        <v>Gestora</v>
      </c>
      <c r="R381" s="11" t="str">
        <f>_xlfn.XLOOKUP(Base_CRM[[#This Row],[Cód do Cliente]],'[1]F &amp; O'!$A:$A,'[1]F &amp; O'!D:D,"Sem Finder",0,1)</f>
        <v>Sem Finder</v>
      </c>
      <c r="S381" s="11" t="str">
        <f>_xlfn.XLOOKUP(Base_CRM[[#This Row],[Cód do Cliente]],'[1]F &amp; O'!$A:$A,'[1]F &amp; O'!E:E,"Sem Canal",0,1)</f>
        <v>Gestora</v>
      </c>
      <c r="T381" s="11" t="str">
        <f t="shared" si="5"/>
        <v>Cliente XP</v>
      </c>
    </row>
    <row r="382" spans="1:20" x14ac:dyDescent="0.3">
      <c r="A382">
        <v>3748611</v>
      </c>
      <c r="B382" s="8" t="s">
        <v>896</v>
      </c>
      <c r="C382" s="9" t="s">
        <v>34</v>
      </c>
      <c r="D382" s="8">
        <v>447280.43</v>
      </c>
      <c r="E382">
        <v>10000</v>
      </c>
      <c r="F382" t="s">
        <v>29</v>
      </c>
      <c r="H382" s="10">
        <v>31736</v>
      </c>
      <c r="I382" s="10" t="s">
        <v>349</v>
      </c>
      <c r="K382" t="s">
        <v>25</v>
      </c>
      <c r="L382" t="s">
        <v>897</v>
      </c>
      <c r="N382" s="11" t="str">
        <f>Base_CRM[[#This Row],[Cidade]]&amp;"/"&amp;Base_CRM[[#This Row],[Estado]]</f>
        <v>São Paulo/</v>
      </c>
      <c r="O382" s="12">
        <f>IFERROR(IF(Base_CRM[[#This Row],[PL Tailor]]&gt;Base_CRM[[#This Row],[PL Declarado]],1,Base_CRM[[#This Row],[PL Tailor]]/Base_CRM[[#This Row],[PL Declarado]]),0)</f>
        <v>1</v>
      </c>
      <c r="P382" s="11" t="str">
        <f>IF(Base_CRM[[#This Row],[Estado Civil]]="","PESSOA JURÍDICA","PESSOA FÍSICA")</f>
        <v>PESSOA FÍSICA</v>
      </c>
      <c r="Q382" t="str">
        <f>_xlfn.XLOOKUP(Base_CRM[[#This Row],[Cód do Cliente]],'[1]F &amp; O'!$A:$A,'[1]F &amp; O'!$F:$F,_xlfn.XLOOKUP(Base_CRM[[#This Row],[Assessor]],[1]DePara!$A:$A,[1]DePara!$D:$D,"Outros",0,1),0,1)</f>
        <v>Adonias Noronha</v>
      </c>
      <c r="R382" s="11" t="str">
        <f>_xlfn.XLOOKUP(Base_CRM[[#This Row],[Cód do Cliente]],'[1]F &amp; O'!$A:$A,'[1]F &amp; O'!D:D,"Sem Finder",0,1)</f>
        <v>Sem Finder</v>
      </c>
      <c r="S382" s="11" t="str">
        <f>_xlfn.XLOOKUP(Base_CRM[[#This Row],[Cód do Cliente]],'[1]F &amp; O'!$A:$A,'[1]F &amp; O'!E:E,"Sem Canal",0,1)</f>
        <v>Camila Corrêa</v>
      </c>
      <c r="T382" s="11" t="str">
        <f t="shared" si="5"/>
        <v>Cliente XP</v>
      </c>
    </row>
    <row r="383" spans="1:20" x14ac:dyDescent="0.3">
      <c r="A383">
        <v>3748876</v>
      </c>
      <c r="B383" s="8" t="s">
        <v>898</v>
      </c>
      <c r="C383" s="9" t="s">
        <v>34</v>
      </c>
      <c r="D383" s="8">
        <v>161883.06</v>
      </c>
      <c r="E383">
        <v>1450000</v>
      </c>
      <c r="F383" t="s">
        <v>22</v>
      </c>
      <c r="G383" t="s">
        <v>71</v>
      </c>
      <c r="H383" s="10">
        <v>30727</v>
      </c>
      <c r="I383" s="10" t="s">
        <v>84</v>
      </c>
      <c r="K383" t="s">
        <v>42</v>
      </c>
      <c r="L383" t="s">
        <v>899</v>
      </c>
      <c r="N383" s="11" t="str">
        <f>Base_CRM[[#This Row],[Cidade]]&amp;"/"&amp;Base_CRM[[#This Row],[Estado]]</f>
        <v>NITEROI/</v>
      </c>
      <c r="O383" s="12">
        <f>IFERROR(IF(Base_CRM[[#This Row],[PL Tailor]]&gt;Base_CRM[[#This Row],[PL Declarado]],1,Base_CRM[[#This Row],[PL Tailor]]/Base_CRM[[#This Row],[PL Declarado]]),0)</f>
        <v>0.11164348965517241</v>
      </c>
      <c r="P383" s="11" t="str">
        <f>IF(Base_CRM[[#This Row],[Estado Civil]]="","PESSOA JURÍDICA","PESSOA FÍSICA")</f>
        <v>PESSOA FÍSICA</v>
      </c>
      <c r="Q383" t="str">
        <f>_xlfn.XLOOKUP(Base_CRM[[#This Row],[Cód do Cliente]],'[1]F &amp; O'!$A:$A,'[1]F &amp; O'!$F:$F,_xlfn.XLOOKUP(Base_CRM[[#This Row],[Assessor]],[1]DePara!$A:$A,[1]DePara!$D:$D,"Outros",0,1),0,1)</f>
        <v>Adonias Noronha</v>
      </c>
      <c r="R383" s="11" t="str">
        <f>_xlfn.XLOOKUP(Base_CRM[[#This Row],[Cód do Cliente]],'[1]F &amp; O'!$A:$A,'[1]F &amp; O'!D:D,"Sem Finder",0,1)</f>
        <v>Sem Finder</v>
      </c>
      <c r="S383" s="11" t="str">
        <f>_xlfn.XLOOKUP(Base_CRM[[#This Row],[Cód do Cliente]],'[1]F &amp; O'!$A:$A,'[1]F &amp; O'!E:E,"Sem Canal",0,1)</f>
        <v>Sem Canal</v>
      </c>
      <c r="T383" s="11" t="str">
        <f t="shared" si="5"/>
        <v>Cliente XP</v>
      </c>
    </row>
    <row r="384" spans="1:20" x14ac:dyDescent="0.3">
      <c r="A384">
        <v>3748995</v>
      </c>
      <c r="B384" s="8" t="s">
        <v>900</v>
      </c>
      <c r="C384" s="9" t="s">
        <v>34</v>
      </c>
      <c r="D384" s="8">
        <v>669736.51</v>
      </c>
      <c r="E384">
        <v>1000000</v>
      </c>
      <c r="F384" t="s">
        <v>29</v>
      </c>
      <c r="G384" t="s">
        <v>177</v>
      </c>
      <c r="H384" s="10">
        <v>27396</v>
      </c>
      <c r="I384" s="10" t="s">
        <v>223</v>
      </c>
      <c r="K384" t="s">
        <v>42</v>
      </c>
      <c r="L384" t="s">
        <v>901</v>
      </c>
      <c r="N384" s="11" t="str">
        <f>Base_CRM[[#This Row],[Cidade]]&amp;"/"&amp;Base_CRM[[#This Row],[Estado]]</f>
        <v>PETROPOLIS/</v>
      </c>
      <c r="O384" s="12">
        <f>IFERROR(IF(Base_CRM[[#This Row],[PL Tailor]]&gt;Base_CRM[[#This Row],[PL Declarado]],1,Base_CRM[[#This Row],[PL Tailor]]/Base_CRM[[#This Row],[PL Declarado]]),0)</f>
        <v>0.66973651000000001</v>
      </c>
      <c r="P384" s="11" t="str">
        <f>IF(Base_CRM[[#This Row],[Estado Civil]]="","PESSOA JURÍDICA","PESSOA FÍSICA")</f>
        <v>PESSOA FÍSICA</v>
      </c>
      <c r="Q384" t="str">
        <f>_xlfn.XLOOKUP(Base_CRM[[#This Row],[Cód do Cliente]],'[1]F &amp; O'!$A:$A,'[1]F &amp; O'!$F:$F,_xlfn.XLOOKUP(Base_CRM[[#This Row],[Assessor]],[1]DePara!$A:$A,[1]DePara!$D:$D,"Outros",0,1),0,1)</f>
        <v>Adonias Noronha</v>
      </c>
      <c r="R384" s="11" t="str">
        <f>_xlfn.XLOOKUP(Base_CRM[[#This Row],[Cód do Cliente]],'[1]F &amp; O'!$A:$A,'[1]F &amp; O'!D:D,"Sem Finder",0,1)</f>
        <v>Sem Finder</v>
      </c>
      <c r="S384" s="11" t="str">
        <f>_xlfn.XLOOKUP(Base_CRM[[#This Row],[Cód do Cliente]],'[1]F &amp; O'!$A:$A,'[1]F &amp; O'!E:E,"Sem Canal",0,1)</f>
        <v>Sem Canal</v>
      </c>
      <c r="T384" s="11" t="str">
        <f t="shared" si="5"/>
        <v>Cliente XP</v>
      </c>
    </row>
    <row r="385" spans="1:20" x14ac:dyDescent="0.3">
      <c r="A385">
        <v>375058</v>
      </c>
      <c r="B385" s="8" t="s">
        <v>902</v>
      </c>
      <c r="C385" s="9" t="s">
        <v>74</v>
      </c>
      <c r="D385" s="8">
        <v>14007.64</v>
      </c>
      <c r="E385">
        <v>0</v>
      </c>
      <c r="F385" t="s">
        <v>29</v>
      </c>
      <c r="G385" t="s">
        <v>52</v>
      </c>
      <c r="H385" s="10">
        <v>33772</v>
      </c>
      <c r="I385" s="10" t="s">
        <v>31</v>
      </c>
      <c r="K385" t="s">
        <v>25</v>
      </c>
      <c r="L385" t="s">
        <v>903</v>
      </c>
      <c r="N385" s="11" t="str">
        <f>Base_CRM[[#This Row],[Cidade]]&amp;"/"&amp;Base_CRM[[#This Row],[Estado]]</f>
        <v>SAO PAULO/</v>
      </c>
      <c r="O385" s="12">
        <f>IFERROR(IF(Base_CRM[[#This Row],[PL Tailor]]&gt;Base_CRM[[#This Row],[PL Declarado]],1,Base_CRM[[#This Row],[PL Tailor]]/Base_CRM[[#This Row],[PL Declarado]]),0)</f>
        <v>1</v>
      </c>
      <c r="P385" s="11" t="str">
        <f>IF(Base_CRM[[#This Row],[Estado Civil]]="","PESSOA JURÍDICA","PESSOA FÍSICA")</f>
        <v>PESSOA FÍSICA</v>
      </c>
      <c r="Q385" t="str">
        <f>_xlfn.XLOOKUP(Base_CRM[[#This Row],[Cód do Cliente]],'[1]F &amp; O'!$A:$A,'[1]F &amp; O'!$F:$F,_xlfn.XLOOKUP(Base_CRM[[#This Row],[Assessor]],[1]DePara!$A:$A,[1]DePara!$D:$D,"Outros",0,1),0,1)</f>
        <v>Thayane Freitas</v>
      </c>
      <c r="R385" s="11" t="str">
        <f>_xlfn.XLOOKUP(Base_CRM[[#This Row],[Cód do Cliente]],'[1]F &amp; O'!$A:$A,'[1]F &amp; O'!D:D,"Sem Finder",0,1)</f>
        <v>Sem Finder</v>
      </c>
      <c r="S385" s="11" t="str">
        <f>_xlfn.XLOOKUP(Base_CRM[[#This Row],[Cód do Cliente]],'[1]F &amp; O'!$A:$A,'[1]F &amp; O'!E:E,"Sem Canal",0,1)</f>
        <v>Sem Canal</v>
      </c>
      <c r="T385" s="11" t="str">
        <f t="shared" si="5"/>
        <v>Cliente XP</v>
      </c>
    </row>
    <row r="386" spans="1:20" x14ac:dyDescent="0.3">
      <c r="A386">
        <v>3754520</v>
      </c>
      <c r="B386" s="8" t="s">
        <v>904</v>
      </c>
      <c r="C386" s="9" t="s">
        <v>74</v>
      </c>
      <c r="D386" s="8">
        <v>12.58</v>
      </c>
      <c r="E386">
        <v>1000000</v>
      </c>
      <c r="F386" t="s">
        <v>22</v>
      </c>
      <c r="G386" t="s">
        <v>905</v>
      </c>
      <c r="H386" s="10">
        <v>32358</v>
      </c>
      <c r="I386" s="10" t="s">
        <v>906</v>
      </c>
      <c r="K386" t="s">
        <v>25</v>
      </c>
      <c r="L386" t="s">
        <v>907</v>
      </c>
      <c r="N386" s="11" t="str">
        <f>Base_CRM[[#This Row],[Cidade]]&amp;"/"&amp;Base_CRM[[#This Row],[Estado]]</f>
        <v>SANTA MARIA/</v>
      </c>
      <c r="O386" s="12">
        <f>IFERROR(IF(Base_CRM[[#This Row],[PL Tailor]]&gt;Base_CRM[[#This Row],[PL Declarado]],1,Base_CRM[[#This Row],[PL Tailor]]/Base_CRM[[#This Row],[PL Declarado]]),0)</f>
        <v>1.258E-5</v>
      </c>
      <c r="P386" s="11" t="str">
        <f>IF(Base_CRM[[#This Row],[Estado Civil]]="","PESSOA JURÍDICA","PESSOA FÍSICA")</f>
        <v>PESSOA FÍSICA</v>
      </c>
      <c r="Q386" t="str">
        <f>_xlfn.XLOOKUP(Base_CRM[[#This Row],[Cód do Cliente]],'[1]F &amp; O'!$A:$A,'[1]F &amp; O'!$F:$F,_xlfn.XLOOKUP(Base_CRM[[#This Row],[Assessor]],[1]DePara!$A:$A,[1]DePara!$D:$D,"Outros",0,1),0,1)</f>
        <v>Thayane Freitas</v>
      </c>
      <c r="R386" s="11" t="str">
        <f>_xlfn.XLOOKUP(Base_CRM[[#This Row],[Cód do Cliente]],'[1]F &amp; O'!$A:$A,'[1]F &amp; O'!D:D,"Sem Finder",0,1)</f>
        <v>Sem Finder</v>
      </c>
      <c r="S386" s="11" t="str">
        <f>_xlfn.XLOOKUP(Base_CRM[[#This Row],[Cód do Cliente]],'[1]F &amp; O'!$A:$A,'[1]F &amp; O'!E:E,"Sem Canal",0,1)</f>
        <v>Sem Canal</v>
      </c>
      <c r="T386" s="11" t="str">
        <f t="shared" ref="T386:T449" si="6">"Cliente XP"</f>
        <v>Cliente XP</v>
      </c>
    </row>
    <row r="387" spans="1:20" x14ac:dyDescent="0.3">
      <c r="A387">
        <v>3794118</v>
      </c>
      <c r="B387" s="8" t="s">
        <v>149</v>
      </c>
      <c r="C387" s="9" t="s">
        <v>66</v>
      </c>
      <c r="D387" s="8">
        <v>264.88</v>
      </c>
      <c r="E387">
        <v>5000000</v>
      </c>
      <c r="F387" t="s">
        <v>22</v>
      </c>
      <c r="G387" t="s">
        <v>67</v>
      </c>
      <c r="H387" s="10">
        <v>32000</v>
      </c>
      <c r="I387" s="10" t="s">
        <v>31</v>
      </c>
      <c r="K387" t="s">
        <v>42</v>
      </c>
      <c r="L387" t="s">
        <v>150</v>
      </c>
      <c r="M387" t="s">
        <v>891</v>
      </c>
      <c r="N387" s="11" t="str">
        <f>Base_CRM[[#This Row],[Cidade]]&amp;"/"&amp;Base_CRM[[#This Row],[Estado]]</f>
        <v>SAO PAULO/</v>
      </c>
      <c r="O387" s="12">
        <f>IFERROR(IF(Base_CRM[[#This Row],[PL Tailor]]&gt;Base_CRM[[#This Row],[PL Declarado]],1,Base_CRM[[#This Row],[PL Tailor]]/Base_CRM[[#This Row],[PL Declarado]]),0)</f>
        <v>5.2976000000000002E-5</v>
      </c>
      <c r="P387" s="11" t="str">
        <f>IF(Base_CRM[[#This Row],[Estado Civil]]="","PESSOA JURÍDICA","PESSOA FÍSICA")</f>
        <v>PESSOA FÍSICA</v>
      </c>
      <c r="Q387" t="str">
        <f>_xlfn.XLOOKUP(Base_CRM[[#This Row],[Cód do Cliente]],'[1]F &amp; O'!$A:$A,'[1]F &amp; O'!$F:$F,_xlfn.XLOOKUP(Base_CRM[[#This Row],[Assessor]],[1]DePara!$A:$A,[1]DePara!$D:$D,"Outros",0,1),0,1)</f>
        <v>Caroline Vlavianos</v>
      </c>
      <c r="R387" s="11" t="str">
        <f>_xlfn.XLOOKUP(Base_CRM[[#This Row],[Cód do Cliente]],'[1]F &amp; O'!$A:$A,'[1]F &amp; O'!D:D,"Sem Finder",0,1)</f>
        <v>Sem Finder</v>
      </c>
      <c r="S387" s="11" t="str">
        <f>_xlfn.XLOOKUP(Base_CRM[[#This Row],[Cód do Cliente]],'[1]F &amp; O'!$A:$A,'[1]F &amp; O'!E:E,"Sem Canal",0,1)</f>
        <v>Sem Canal</v>
      </c>
      <c r="T387" s="11" t="str">
        <f t="shared" si="6"/>
        <v>Cliente XP</v>
      </c>
    </row>
    <row r="388" spans="1:20" x14ac:dyDescent="0.3">
      <c r="A388">
        <v>379817</v>
      </c>
      <c r="B388" s="8" t="s">
        <v>908</v>
      </c>
      <c r="C388" s="9" t="s">
        <v>74</v>
      </c>
      <c r="D388" s="8">
        <v>216407.67</v>
      </c>
      <c r="E388">
        <v>1000000</v>
      </c>
      <c r="F388" t="s">
        <v>22</v>
      </c>
      <c r="G388" t="s">
        <v>96</v>
      </c>
      <c r="H388" s="10">
        <v>20431</v>
      </c>
      <c r="I388" s="10" t="s">
        <v>909</v>
      </c>
      <c r="K388" t="s">
        <v>42</v>
      </c>
      <c r="L388" t="s">
        <v>910</v>
      </c>
      <c r="M388" t="s">
        <v>77</v>
      </c>
      <c r="N388" s="11" t="str">
        <f>Base_CRM[[#This Row],[Cidade]]&amp;"/"&amp;Base_CRM[[#This Row],[Estado]]</f>
        <v>Curitiba/</v>
      </c>
      <c r="O388" s="12">
        <f>IFERROR(IF(Base_CRM[[#This Row],[PL Tailor]]&gt;Base_CRM[[#This Row],[PL Declarado]],1,Base_CRM[[#This Row],[PL Tailor]]/Base_CRM[[#This Row],[PL Declarado]]),0)</f>
        <v>0.21640767000000002</v>
      </c>
      <c r="P388" s="11" t="str">
        <f>IF(Base_CRM[[#This Row],[Estado Civil]]="","PESSOA JURÍDICA","PESSOA FÍSICA")</f>
        <v>PESSOA FÍSICA</v>
      </c>
      <c r="Q388" t="str">
        <f>_xlfn.XLOOKUP(Base_CRM[[#This Row],[Cód do Cliente]],'[1]F &amp; O'!$A:$A,'[1]F &amp; O'!$F:$F,_xlfn.XLOOKUP(Base_CRM[[#This Row],[Assessor]],[1]DePara!$A:$A,[1]DePara!$D:$D,"Outros",0,1),0,1)</f>
        <v>Thayane Freitas</v>
      </c>
      <c r="R388" s="11" t="str">
        <f>_xlfn.XLOOKUP(Base_CRM[[#This Row],[Cód do Cliente]],'[1]F &amp; O'!$A:$A,'[1]F &amp; O'!D:D,"Sem Finder",0,1)</f>
        <v>Sem Finder</v>
      </c>
      <c r="S388" s="11" t="str">
        <f>_xlfn.XLOOKUP(Base_CRM[[#This Row],[Cód do Cliente]],'[1]F &amp; O'!$A:$A,'[1]F &amp; O'!E:E,"Sem Canal",0,1)</f>
        <v>Sem Canal</v>
      </c>
      <c r="T388" s="11" t="str">
        <f t="shared" si="6"/>
        <v>Cliente XP</v>
      </c>
    </row>
    <row r="389" spans="1:20" x14ac:dyDescent="0.3">
      <c r="A389">
        <v>3814687</v>
      </c>
      <c r="B389" s="8" t="s">
        <v>911</v>
      </c>
      <c r="C389" s="9" t="s">
        <v>34</v>
      </c>
      <c r="D389" s="8">
        <v>135567.62</v>
      </c>
      <c r="E389">
        <v>300000</v>
      </c>
      <c r="F389" t="s">
        <v>22</v>
      </c>
      <c r="G389" t="s">
        <v>35</v>
      </c>
      <c r="H389" s="10">
        <v>29030</v>
      </c>
      <c r="I389" s="10" t="s">
        <v>31</v>
      </c>
      <c r="K389" t="s">
        <v>42</v>
      </c>
      <c r="L389" t="s">
        <v>912</v>
      </c>
      <c r="N389" s="11" t="str">
        <f>Base_CRM[[#This Row],[Cidade]]&amp;"/"&amp;Base_CRM[[#This Row],[Estado]]</f>
        <v>SAO PAULO/</v>
      </c>
      <c r="O389" s="12">
        <f>IFERROR(IF(Base_CRM[[#This Row],[PL Tailor]]&gt;Base_CRM[[#This Row],[PL Declarado]],1,Base_CRM[[#This Row],[PL Tailor]]/Base_CRM[[#This Row],[PL Declarado]]),0)</f>
        <v>0.45189206666666665</v>
      </c>
      <c r="P389" s="11" t="str">
        <f>IF(Base_CRM[[#This Row],[Estado Civil]]="","PESSOA JURÍDICA","PESSOA FÍSICA")</f>
        <v>PESSOA FÍSICA</v>
      </c>
      <c r="Q389" t="str">
        <f>_xlfn.XLOOKUP(Base_CRM[[#This Row],[Cód do Cliente]],'[1]F &amp; O'!$A:$A,'[1]F &amp; O'!$F:$F,_xlfn.XLOOKUP(Base_CRM[[#This Row],[Assessor]],[1]DePara!$A:$A,[1]DePara!$D:$D,"Outros",0,1),0,1)</f>
        <v>Adonias Noronha</v>
      </c>
      <c r="R389" s="11" t="str">
        <f>_xlfn.XLOOKUP(Base_CRM[[#This Row],[Cód do Cliente]],'[1]F &amp; O'!$A:$A,'[1]F &amp; O'!D:D,"Sem Finder",0,1)</f>
        <v>Sem Finder</v>
      </c>
      <c r="S389" s="11" t="str">
        <f>_xlfn.XLOOKUP(Base_CRM[[#This Row],[Cód do Cliente]],'[1]F &amp; O'!$A:$A,'[1]F &amp; O'!E:E,"Sem Canal",0,1)</f>
        <v>Sem Canal</v>
      </c>
      <c r="T389" s="11" t="str">
        <f t="shared" si="6"/>
        <v>Cliente XP</v>
      </c>
    </row>
    <row r="390" spans="1:20" x14ac:dyDescent="0.3">
      <c r="A390">
        <v>381539</v>
      </c>
      <c r="B390" s="8" t="s">
        <v>913</v>
      </c>
      <c r="C390" s="9" t="s">
        <v>103</v>
      </c>
      <c r="D390" s="8">
        <v>816957.53</v>
      </c>
      <c r="E390">
        <v>10000000</v>
      </c>
      <c r="F390" t="s">
        <v>22</v>
      </c>
      <c r="G390" t="s">
        <v>96</v>
      </c>
      <c r="H390" s="10">
        <v>32889</v>
      </c>
      <c r="I390" s="10" t="s">
        <v>24</v>
      </c>
      <c r="K390" t="s">
        <v>25</v>
      </c>
      <c r="L390" t="s">
        <v>914</v>
      </c>
      <c r="M390" t="s">
        <v>891</v>
      </c>
      <c r="N390" s="11" t="str">
        <f>Base_CRM[[#This Row],[Cidade]]&amp;"/"&amp;Base_CRM[[#This Row],[Estado]]</f>
        <v>RIO DE JANEIRO/</v>
      </c>
      <c r="O390" s="12">
        <f>IFERROR(IF(Base_CRM[[#This Row],[PL Tailor]]&gt;Base_CRM[[#This Row],[PL Declarado]],1,Base_CRM[[#This Row],[PL Tailor]]/Base_CRM[[#This Row],[PL Declarado]]),0)</f>
        <v>8.1695752999999996E-2</v>
      </c>
      <c r="P390" s="11" t="str">
        <f>IF(Base_CRM[[#This Row],[Estado Civil]]="","PESSOA JURÍDICA","PESSOA FÍSICA")</f>
        <v>PESSOA FÍSICA</v>
      </c>
      <c r="Q390" t="str">
        <f>_xlfn.XLOOKUP(Base_CRM[[#This Row],[Cód do Cliente]],'[1]F &amp; O'!$A:$A,'[1]F &amp; O'!$F:$F,_xlfn.XLOOKUP(Base_CRM[[#This Row],[Assessor]],[1]DePara!$A:$A,[1]DePara!$D:$D,"Outros",0,1),0,1)</f>
        <v>Raphael Pereira</v>
      </c>
      <c r="R390" s="11" t="str">
        <f>_xlfn.XLOOKUP(Base_CRM[[#This Row],[Cód do Cliente]],'[1]F &amp; O'!$A:$A,'[1]F &amp; O'!D:D,"Sem Finder",0,1)</f>
        <v>Sem Finder</v>
      </c>
      <c r="S390" s="11" t="str">
        <f>_xlfn.XLOOKUP(Base_CRM[[#This Row],[Cód do Cliente]],'[1]F &amp; O'!$A:$A,'[1]F &amp; O'!E:E,"Sem Canal",0,1)</f>
        <v>Sem Canal</v>
      </c>
      <c r="T390" s="11" t="str">
        <f t="shared" si="6"/>
        <v>Cliente XP</v>
      </c>
    </row>
    <row r="391" spans="1:20" x14ac:dyDescent="0.3">
      <c r="A391">
        <v>3818944</v>
      </c>
      <c r="B391" s="8" t="s">
        <v>915</v>
      </c>
      <c r="C391" s="9" t="s">
        <v>39</v>
      </c>
      <c r="D391" s="8">
        <v>294856.69</v>
      </c>
      <c r="E391">
        <v>16000</v>
      </c>
      <c r="F391" t="s">
        <v>22</v>
      </c>
      <c r="G391" t="s">
        <v>71</v>
      </c>
      <c r="H391" s="10">
        <v>32473</v>
      </c>
      <c r="I391" s="10" t="s">
        <v>349</v>
      </c>
      <c r="K391" t="s">
        <v>42</v>
      </c>
      <c r="L391" t="s">
        <v>916</v>
      </c>
      <c r="N391" s="11" t="str">
        <f>Base_CRM[[#This Row],[Cidade]]&amp;"/"&amp;Base_CRM[[#This Row],[Estado]]</f>
        <v>São Paulo/</v>
      </c>
      <c r="O391" s="12">
        <f>IFERROR(IF(Base_CRM[[#This Row],[PL Tailor]]&gt;Base_CRM[[#This Row],[PL Declarado]],1,Base_CRM[[#This Row],[PL Tailor]]/Base_CRM[[#This Row],[PL Declarado]]),0)</f>
        <v>1</v>
      </c>
      <c r="P391" s="11" t="str">
        <f>IF(Base_CRM[[#This Row],[Estado Civil]]="","PESSOA JURÍDICA","PESSOA FÍSICA")</f>
        <v>PESSOA FÍSICA</v>
      </c>
      <c r="Q391" t="str">
        <f>_xlfn.XLOOKUP(Base_CRM[[#This Row],[Cód do Cliente]],'[1]F &amp; O'!$A:$A,'[1]F &amp; O'!$F:$F,_xlfn.XLOOKUP(Base_CRM[[#This Row],[Assessor]],[1]DePara!$A:$A,[1]DePara!$D:$D,"Outros",0,1),0,1)</f>
        <v>Gestora</v>
      </c>
      <c r="R391" s="11" t="str">
        <f>_xlfn.XLOOKUP(Base_CRM[[#This Row],[Cód do Cliente]],'[1]F &amp; O'!$A:$A,'[1]F &amp; O'!D:D,"Sem Finder",0,1)</f>
        <v>Sem Finder</v>
      </c>
      <c r="S391" s="11" t="str">
        <f>_xlfn.XLOOKUP(Base_CRM[[#This Row],[Cód do Cliente]],'[1]F &amp; O'!$A:$A,'[1]F &amp; O'!E:E,"Sem Canal",0,1)</f>
        <v>Gestora</v>
      </c>
      <c r="T391" s="11" t="str">
        <f t="shared" si="6"/>
        <v>Cliente XP</v>
      </c>
    </row>
    <row r="392" spans="1:20" x14ac:dyDescent="0.3">
      <c r="A392">
        <v>3823076</v>
      </c>
      <c r="B392" s="8" t="s">
        <v>917</v>
      </c>
      <c r="C392" s="9" t="s">
        <v>21</v>
      </c>
      <c r="D392" s="8">
        <v>1191776.72</v>
      </c>
      <c r="E392">
        <v>1100000</v>
      </c>
      <c r="F392" t="s">
        <v>22</v>
      </c>
      <c r="G392" t="s">
        <v>87</v>
      </c>
      <c r="H392" s="10">
        <v>28877</v>
      </c>
      <c r="I392" s="10" t="s">
        <v>24</v>
      </c>
      <c r="K392" t="s">
        <v>68</v>
      </c>
      <c r="L392" t="s">
        <v>918</v>
      </c>
      <c r="M392" t="s">
        <v>64</v>
      </c>
      <c r="N392" s="11" t="str">
        <f>Base_CRM[[#This Row],[Cidade]]&amp;"/"&amp;Base_CRM[[#This Row],[Estado]]</f>
        <v>RIO DE JANEIRO/</v>
      </c>
      <c r="O392" s="12">
        <f>IFERROR(IF(Base_CRM[[#This Row],[PL Tailor]]&gt;Base_CRM[[#This Row],[PL Declarado]],1,Base_CRM[[#This Row],[PL Tailor]]/Base_CRM[[#This Row],[PL Declarado]]),0)</f>
        <v>1</v>
      </c>
      <c r="P392" s="11" t="str">
        <f>IF(Base_CRM[[#This Row],[Estado Civil]]="","PESSOA JURÍDICA","PESSOA FÍSICA")</f>
        <v>PESSOA FÍSICA</v>
      </c>
      <c r="Q392" t="str">
        <f>_xlfn.XLOOKUP(Base_CRM[[#This Row],[Cód do Cliente]],'[1]F &amp; O'!$A:$A,'[1]F &amp; O'!$F:$F,_xlfn.XLOOKUP(Base_CRM[[#This Row],[Assessor]],[1]DePara!$A:$A,[1]DePara!$D:$D,"Outros",0,1),0,1)</f>
        <v>Leonardo Burle</v>
      </c>
      <c r="R392" s="11" t="str">
        <f>_xlfn.XLOOKUP(Base_CRM[[#This Row],[Cód do Cliente]],'[1]F &amp; O'!$A:$A,'[1]F &amp; O'!D:D,"Sem Finder",0,1)</f>
        <v>Sem Finder</v>
      </c>
      <c r="S392" s="11" t="str">
        <f>_xlfn.XLOOKUP(Base_CRM[[#This Row],[Cód do Cliente]],'[1]F &amp; O'!$A:$A,'[1]F &amp; O'!E:E,"Sem Canal",0,1)</f>
        <v>Sem Canal</v>
      </c>
      <c r="T392" s="11" t="str">
        <f t="shared" si="6"/>
        <v>Cliente XP</v>
      </c>
    </row>
    <row r="393" spans="1:20" x14ac:dyDescent="0.3">
      <c r="A393">
        <v>3837866</v>
      </c>
      <c r="B393" s="8" t="s">
        <v>919</v>
      </c>
      <c r="C393" s="9" t="s">
        <v>34</v>
      </c>
      <c r="D393" s="8">
        <v>1848576.6</v>
      </c>
      <c r="E393">
        <v>1100000</v>
      </c>
      <c r="F393" t="s">
        <v>22</v>
      </c>
      <c r="G393" t="s">
        <v>71</v>
      </c>
      <c r="H393" s="10">
        <v>31958</v>
      </c>
      <c r="I393" s="10" t="s">
        <v>142</v>
      </c>
      <c r="K393" t="s">
        <v>25</v>
      </c>
      <c r="L393" t="s">
        <v>920</v>
      </c>
      <c r="M393" t="s">
        <v>64</v>
      </c>
      <c r="N393" s="11" t="str">
        <f>Base_CRM[[#This Row],[Cidade]]&amp;"/"&amp;Base_CRM[[#This Row],[Estado]]</f>
        <v>SAO JOSE DOS CAMPOS/</v>
      </c>
      <c r="O393" s="12">
        <f>IFERROR(IF(Base_CRM[[#This Row],[PL Tailor]]&gt;Base_CRM[[#This Row],[PL Declarado]],1,Base_CRM[[#This Row],[PL Tailor]]/Base_CRM[[#This Row],[PL Declarado]]),0)</f>
        <v>1</v>
      </c>
      <c r="P393" s="11" t="str">
        <f>IF(Base_CRM[[#This Row],[Estado Civil]]="","PESSOA JURÍDICA","PESSOA FÍSICA")</f>
        <v>PESSOA FÍSICA</v>
      </c>
      <c r="Q393" t="str">
        <f>_xlfn.XLOOKUP(Base_CRM[[#This Row],[Cód do Cliente]],'[1]F &amp; O'!$A:$A,'[1]F &amp; O'!$F:$F,_xlfn.XLOOKUP(Base_CRM[[#This Row],[Assessor]],[1]DePara!$A:$A,[1]DePara!$D:$D,"Outros",0,1),0,1)</f>
        <v>Adonias Noronha</v>
      </c>
      <c r="R393" s="11" t="str">
        <f>_xlfn.XLOOKUP(Base_CRM[[#This Row],[Cód do Cliente]],'[1]F &amp; O'!$A:$A,'[1]F &amp; O'!D:D,"Sem Finder",0,1)</f>
        <v>Sem Finder</v>
      </c>
      <c r="S393" s="11" t="str">
        <f>_xlfn.XLOOKUP(Base_CRM[[#This Row],[Cód do Cliente]],'[1]F &amp; O'!$A:$A,'[1]F &amp; O'!E:E,"Sem Canal",0,1)</f>
        <v>Sem Canal</v>
      </c>
      <c r="T393" s="11" t="str">
        <f t="shared" si="6"/>
        <v>Cliente XP</v>
      </c>
    </row>
    <row r="394" spans="1:20" x14ac:dyDescent="0.3">
      <c r="A394">
        <v>3865136</v>
      </c>
      <c r="B394" s="8" t="s">
        <v>921</v>
      </c>
      <c r="C394" s="9" t="s">
        <v>39</v>
      </c>
      <c r="D394" s="8">
        <v>0</v>
      </c>
      <c r="E394">
        <v>45000</v>
      </c>
      <c r="F394" t="s">
        <v>29</v>
      </c>
      <c r="G394" t="s">
        <v>87</v>
      </c>
      <c r="H394" s="10">
        <v>32175</v>
      </c>
      <c r="I394" s="10" t="s">
        <v>31</v>
      </c>
      <c r="K394" t="s">
        <v>25</v>
      </c>
      <c r="L394" t="s">
        <v>922</v>
      </c>
      <c r="N394" s="11" t="str">
        <f>Base_CRM[[#This Row],[Cidade]]&amp;"/"&amp;Base_CRM[[#This Row],[Estado]]</f>
        <v>SAO PAULO/</v>
      </c>
      <c r="O394" s="12">
        <f>IFERROR(IF(Base_CRM[[#This Row],[PL Tailor]]&gt;Base_CRM[[#This Row],[PL Declarado]],1,Base_CRM[[#This Row],[PL Tailor]]/Base_CRM[[#This Row],[PL Declarado]]),0)</f>
        <v>0</v>
      </c>
      <c r="P394" s="11" t="str">
        <f>IF(Base_CRM[[#This Row],[Estado Civil]]="","PESSOA JURÍDICA","PESSOA FÍSICA")</f>
        <v>PESSOA FÍSICA</v>
      </c>
      <c r="Q394" t="str">
        <f>_xlfn.XLOOKUP(Base_CRM[[#This Row],[Cód do Cliente]],'[1]F &amp; O'!$A:$A,'[1]F &amp; O'!$F:$F,_xlfn.XLOOKUP(Base_CRM[[#This Row],[Assessor]],[1]DePara!$A:$A,[1]DePara!$D:$D,"Outros",0,1),0,1)</f>
        <v>Gestora</v>
      </c>
      <c r="R394" s="11" t="str">
        <f>_xlfn.XLOOKUP(Base_CRM[[#This Row],[Cód do Cliente]],'[1]F &amp; O'!$A:$A,'[1]F &amp; O'!D:D,"Sem Finder",0,1)</f>
        <v>Sem Finder</v>
      </c>
      <c r="S394" s="11" t="str">
        <f>_xlfn.XLOOKUP(Base_CRM[[#This Row],[Cód do Cliente]],'[1]F &amp; O'!$A:$A,'[1]F &amp; O'!E:E,"Sem Canal",0,1)</f>
        <v>Gestora</v>
      </c>
      <c r="T394" s="11" t="str">
        <f t="shared" si="6"/>
        <v>Cliente XP</v>
      </c>
    </row>
    <row r="395" spans="1:20" x14ac:dyDescent="0.3">
      <c r="A395">
        <v>3872058</v>
      </c>
      <c r="B395" s="8" t="s">
        <v>923</v>
      </c>
      <c r="C395" s="9" t="s">
        <v>39</v>
      </c>
      <c r="D395" s="8">
        <v>16834.68</v>
      </c>
      <c r="E395">
        <v>5000</v>
      </c>
      <c r="F395" t="s">
        <v>22</v>
      </c>
      <c r="G395" t="s">
        <v>87</v>
      </c>
      <c r="H395" s="10">
        <v>33541</v>
      </c>
      <c r="I395" s="10" t="s">
        <v>115</v>
      </c>
      <c r="K395" t="s">
        <v>42</v>
      </c>
      <c r="L395" t="s">
        <v>924</v>
      </c>
      <c r="N395" s="11" t="str">
        <f>Base_CRM[[#This Row],[Cidade]]&amp;"/"&amp;Base_CRM[[#This Row],[Estado]]</f>
        <v>BARUERI/</v>
      </c>
      <c r="O395" s="12">
        <f>IFERROR(IF(Base_CRM[[#This Row],[PL Tailor]]&gt;Base_CRM[[#This Row],[PL Declarado]],1,Base_CRM[[#This Row],[PL Tailor]]/Base_CRM[[#This Row],[PL Declarado]]),0)</f>
        <v>1</v>
      </c>
      <c r="P395" s="11" t="str">
        <f>IF(Base_CRM[[#This Row],[Estado Civil]]="","PESSOA JURÍDICA","PESSOA FÍSICA")</f>
        <v>PESSOA FÍSICA</v>
      </c>
      <c r="Q395" t="str">
        <f>_xlfn.XLOOKUP(Base_CRM[[#This Row],[Cód do Cliente]],'[1]F &amp; O'!$A:$A,'[1]F &amp; O'!$F:$F,_xlfn.XLOOKUP(Base_CRM[[#This Row],[Assessor]],[1]DePara!$A:$A,[1]DePara!$D:$D,"Outros",0,1),0,1)</f>
        <v>Gestora</v>
      </c>
      <c r="R395" s="11" t="str">
        <f>_xlfn.XLOOKUP(Base_CRM[[#This Row],[Cód do Cliente]],'[1]F &amp; O'!$A:$A,'[1]F &amp; O'!D:D,"Sem Finder",0,1)</f>
        <v>Sem Finder</v>
      </c>
      <c r="S395" s="11" t="str">
        <f>_xlfn.XLOOKUP(Base_CRM[[#This Row],[Cód do Cliente]],'[1]F &amp; O'!$A:$A,'[1]F &amp; O'!E:E,"Sem Canal",0,1)</f>
        <v>Gestora</v>
      </c>
      <c r="T395" s="11" t="str">
        <f t="shared" si="6"/>
        <v>Cliente XP</v>
      </c>
    </row>
    <row r="396" spans="1:20" x14ac:dyDescent="0.3">
      <c r="A396">
        <v>389538</v>
      </c>
      <c r="B396" s="8" t="s">
        <v>925</v>
      </c>
      <c r="C396" s="9" t="s">
        <v>74</v>
      </c>
      <c r="D396" s="8">
        <v>207.42</v>
      </c>
      <c r="E396">
        <v>3200000</v>
      </c>
      <c r="F396" t="s">
        <v>29</v>
      </c>
      <c r="G396" t="s">
        <v>926</v>
      </c>
      <c r="H396" s="10">
        <v>25034</v>
      </c>
      <c r="I396" s="10" t="s">
        <v>189</v>
      </c>
      <c r="K396" t="s">
        <v>42</v>
      </c>
      <c r="L396" t="s">
        <v>927</v>
      </c>
      <c r="N396" s="11" t="str">
        <f>Base_CRM[[#This Row],[Cidade]]&amp;"/"&amp;Base_CRM[[#This Row],[Estado]]</f>
        <v>SOROCABA/</v>
      </c>
      <c r="O396" s="12">
        <f>IFERROR(IF(Base_CRM[[#This Row],[PL Tailor]]&gt;Base_CRM[[#This Row],[PL Declarado]],1,Base_CRM[[#This Row],[PL Tailor]]/Base_CRM[[#This Row],[PL Declarado]]),0)</f>
        <v>6.481875E-5</v>
      </c>
      <c r="P396" s="11" t="str">
        <f>IF(Base_CRM[[#This Row],[Estado Civil]]="","PESSOA JURÍDICA","PESSOA FÍSICA")</f>
        <v>PESSOA FÍSICA</v>
      </c>
      <c r="Q396" t="str">
        <f>_xlfn.XLOOKUP(Base_CRM[[#This Row],[Cód do Cliente]],'[1]F &amp; O'!$A:$A,'[1]F &amp; O'!$F:$F,_xlfn.XLOOKUP(Base_CRM[[#This Row],[Assessor]],[1]DePara!$A:$A,[1]DePara!$D:$D,"Outros",0,1),0,1)</f>
        <v>Thayane Freitas</v>
      </c>
      <c r="R396" s="11" t="str">
        <f>_xlfn.XLOOKUP(Base_CRM[[#This Row],[Cód do Cliente]],'[1]F &amp; O'!$A:$A,'[1]F &amp; O'!D:D,"Sem Finder",0,1)</f>
        <v>Sem Finder</v>
      </c>
      <c r="S396" s="11" t="str">
        <f>_xlfn.XLOOKUP(Base_CRM[[#This Row],[Cód do Cliente]],'[1]F &amp; O'!$A:$A,'[1]F &amp; O'!E:E,"Sem Canal",0,1)</f>
        <v>Sem Canal</v>
      </c>
      <c r="T396" s="11" t="str">
        <f t="shared" si="6"/>
        <v>Cliente XP</v>
      </c>
    </row>
    <row r="397" spans="1:20" x14ac:dyDescent="0.3">
      <c r="A397">
        <v>389660</v>
      </c>
      <c r="B397" s="8" t="s">
        <v>928</v>
      </c>
      <c r="C397" s="9" t="s">
        <v>21</v>
      </c>
      <c r="D397" s="8">
        <v>2280725.58</v>
      </c>
      <c r="E397">
        <v>1000000</v>
      </c>
      <c r="F397" t="s">
        <v>22</v>
      </c>
      <c r="G397" t="s">
        <v>929</v>
      </c>
      <c r="H397" s="10">
        <v>28494</v>
      </c>
      <c r="I397" s="10" t="s">
        <v>24</v>
      </c>
      <c r="K397" t="s">
        <v>42</v>
      </c>
      <c r="L397" t="s">
        <v>930</v>
      </c>
      <c r="M397" t="s">
        <v>64</v>
      </c>
      <c r="N397" s="11" t="str">
        <f>Base_CRM[[#This Row],[Cidade]]&amp;"/"&amp;Base_CRM[[#This Row],[Estado]]</f>
        <v>RIO DE JANEIRO/</v>
      </c>
      <c r="O397" s="12">
        <f>IFERROR(IF(Base_CRM[[#This Row],[PL Tailor]]&gt;Base_CRM[[#This Row],[PL Declarado]],1,Base_CRM[[#This Row],[PL Tailor]]/Base_CRM[[#This Row],[PL Declarado]]),0)</f>
        <v>1</v>
      </c>
      <c r="P397" s="11" t="str">
        <f>IF(Base_CRM[[#This Row],[Estado Civil]]="","PESSOA JURÍDICA","PESSOA FÍSICA")</f>
        <v>PESSOA FÍSICA</v>
      </c>
      <c r="Q397" t="str">
        <f>_xlfn.XLOOKUP(Base_CRM[[#This Row],[Cód do Cliente]],'[1]F &amp; O'!$A:$A,'[1]F &amp; O'!$F:$F,_xlfn.XLOOKUP(Base_CRM[[#This Row],[Assessor]],[1]DePara!$A:$A,[1]DePara!$D:$D,"Outros",0,1),0,1)</f>
        <v>Leonardo Burle</v>
      </c>
      <c r="R397" s="11" t="str">
        <f>_xlfn.XLOOKUP(Base_CRM[[#This Row],[Cód do Cliente]],'[1]F &amp; O'!$A:$A,'[1]F &amp; O'!D:D,"Sem Finder",0,1)</f>
        <v>Sem Finder</v>
      </c>
      <c r="S397" s="11" t="str">
        <f>_xlfn.XLOOKUP(Base_CRM[[#This Row],[Cód do Cliente]],'[1]F &amp; O'!$A:$A,'[1]F &amp; O'!E:E,"Sem Canal",0,1)</f>
        <v>Sem Canal</v>
      </c>
      <c r="T397" s="11" t="str">
        <f t="shared" si="6"/>
        <v>Cliente XP</v>
      </c>
    </row>
    <row r="398" spans="1:20" x14ac:dyDescent="0.3">
      <c r="A398">
        <v>3907976</v>
      </c>
      <c r="B398" s="8" t="s">
        <v>931</v>
      </c>
      <c r="C398" s="9" t="s">
        <v>48</v>
      </c>
      <c r="D398" s="8">
        <v>384641.87</v>
      </c>
      <c r="E398">
        <v>1000000</v>
      </c>
      <c r="F398" t="s">
        <v>22</v>
      </c>
      <c r="G398" t="s">
        <v>337</v>
      </c>
      <c r="H398" s="10">
        <v>30467</v>
      </c>
      <c r="I398" s="10" t="s">
        <v>115</v>
      </c>
      <c r="K398" t="s">
        <v>42</v>
      </c>
      <c r="L398" t="s">
        <v>932</v>
      </c>
      <c r="N398" s="11" t="str">
        <f>Base_CRM[[#This Row],[Cidade]]&amp;"/"&amp;Base_CRM[[#This Row],[Estado]]</f>
        <v>BARUERI/</v>
      </c>
      <c r="O398" s="12">
        <f>IFERROR(IF(Base_CRM[[#This Row],[PL Tailor]]&gt;Base_CRM[[#This Row],[PL Declarado]],1,Base_CRM[[#This Row],[PL Tailor]]/Base_CRM[[#This Row],[PL Declarado]]),0)</f>
        <v>0.38464187</v>
      </c>
      <c r="P398" s="11" t="str">
        <f>IF(Base_CRM[[#This Row],[Estado Civil]]="","PESSOA JURÍDICA","PESSOA FÍSICA")</f>
        <v>PESSOA FÍSICA</v>
      </c>
      <c r="Q398" t="str">
        <f>_xlfn.XLOOKUP(Base_CRM[[#This Row],[Cód do Cliente]],'[1]F &amp; O'!$A:$A,'[1]F &amp; O'!$F:$F,_xlfn.XLOOKUP(Base_CRM[[#This Row],[Assessor]],[1]DePara!$A:$A,[1]DePara!$D:$D,"Outros",0,1),0,1)</f>
        <v>Raphael Farias</v>
      </c>
      <c r="R398" s="11" t="str">
        <f>_xlfn.XLOOKUP(Base_CRM[[#This Row],[Cód do Cliente]],'[1]F &amp; O'!$A:$A,'[1]F &amp; O'!D:D,"Sem Finder",0,1)</f>
        <v>José De Marchi</v>
      </c>
      <c r="S398" s="11" t="str">
        <f>_xlfn.XLOOKUP(Base_CRM[[#This Row],[Cód do Cliente]],'[1]F &amp; O'!$A:$A,'[1]F &amp; O'!E:E,"Sem Canal",0,1)</f>
        <v>Sem Canal</v>
      </c>
      <c r="T398" s="11" t="str">
        <f t="shared" si="6"/>
        <v>Cliente XP</v>
      </c>
    </row>
    <row r="399" spans="1:20" x14ac:dyDescent="0.3">
      <c r="A399">
        <v>3915058</v>
      </c>
      <c r="B399" s="8" t="s">
        <v>933</v>
      </c>
      <c r="C399" s="9" t="s">
        <v>39</v>
      </c>
      <c r="D399" s="8">
        <v>0</v>
      </c>
      <c r="E399">
        <v>1000</v>
      </c>
      <c r="F399" t="s">
        <v>40</v>
      </c>
      <c r="G399" t="s">
        <v>96</v>
      </c>
      <c r="H399" s="10">
        <v>29770</v>
      </c>
      <c r="I399" s="10" t="s">
        <v>31</v>
      </c>
      <c r="K399" t="s">
        <v>42</v>
      </c>
      <c r="L399" t="s">
        <v>934</v>
      </c>
      <c r="N399" s="11" t="str">
        <f>Base_CRM[[#This Row],[Cidade]]&amp;"/"&amp;Base_CRM[[#This Row],[Estado]]</f>
        <v>SAO PAULO/</v>
      </c>
      <c r="O399" s="12">
        <f>IFERROR(IF(Base_CRM[[#This Row],[PL Tailor]]&gt;Base_CRM[[#This Row],[PL Declarado]],1,Base_CRM[[#This Row],[PL Tailor]]/Base_CRM[[#This Row],[PL Declarado]]),0)</f>
        <v>0</v>
      </c>
      <c r="P399" s="11" t="str">
        <f>IF(Base_CRM[[#This Row],[Estado Civil]]="","PESSOA JURÍDICA","PESSOA FÍSICA")</f>
        <v>PESSOA FÍSICA</v>
      </c>
      <c r="Q399" t="str">
        <f>_xlfn.XLOOKUP(Base_CRM[[#This Row],[Cód do Cliente]],'[1]F &amp; O'!$A:$A,'[1]F &amp; O'!$F:$F,_xlfn.XLOOKUP(Base_CRM[[#This Row],[Assessor]],[1]DePara!$A:$A,[1]DePara!$D:$D,"Outros",0,1),0,1)</f>
        <v>Gestora</v>
      </c>
      <c r="R399" s="11" t="str">
        <f>_xlfn.XLOOKUP(Base_CRM[[#This Row],[Cód do Cliente]],'[1]F &amp; O'!$A:$A,'[1]F &amp; O'!D:D,"Sem Finder",0,1)</f>
        <v>Sem Finder</v>
      </c>
      <c r="S399" s="11" t="str">
        <f>_xlfn.XLOOKUP(Base_CRM[[#This Row],[Cód do Cliente]],'[1]F &amp; O'!$A:$A,'[1]F &amp; O'!E:E,"Sem Canal",0,1)</f>
        <v>Gestora</v>
      </c>
      <c r="T399" s="11" t="str">
        <f t="shared" si="6"/>
        <v>Cliente XP</v>
      </c>
    </row>
    <row r="400" spans="1:20" x14ac:dyDescent="0.3">
      <c r="A400">
        <v>395287</v>
      </c>
      <c r="B400" s="8" t="s">
        <v>935</v>
      </c>
      <c r="C400" s="9" t="s">
        <v>48</v>
      </c>
      <c r="D400" s="8">
        <v>32123.49</v>
      </c>
      <c r="E400">
        <v>130000</v>
      </c>
      <c r="F400" t="s">
        <v>22</v>
      </c>
      <c r="G400" t="s">
        <v>389</v>
      </c>
      <c r="H400" s="10">
        <v>33868</v>
      </c>
      <c r="I400" s="10" t="s">
        <v>31</v>
      </c>
      <c r="K400" t="s">
        <v>25</v>
      </c>
      <c r="L400" t="s">
        <v>936</v>
      </c>
      <c r="N400" s="11" t="str">
        <f>Base_CRM[[#This Row],[Cidade]]&amp;"/"&amp;Base_CRM[[#This Row],[Estado]]</f>
        <v>SAO PAULO/</v>
      </c>
      <c r="O400" s="12">
        <f>IFERROR(IF(Base_CRM[[#This Row],[PL Tailor]]&gt;Base_CRM[[#This Row],[PL Declarado]],1,Base_CRM[[#This Row],[PL Tailor]]/Base_CRM[[#This Row],[PL Declarado]]),0)</f>
        <v>0.24710376923076924</v>
      </c>
      <c r="P400" s="11" t="str">
        <f>IF(Base_CRM[[#This Row],[Estado Civil]]="","PESSOA JURÍDICA","PESSOA FÍSICA")</f>
        <v>PESSOA FÍSICA</v>
      </c>
      <c r="Q400" t="str">
        <f>_xlfn.XLOOKUP(Base_CRM[[#This Row],[Cód do Cliente]],'[1]F &amp; O'!$A:$A,'[1]F &amp; O'!$F:$F,_xlfn.XLOOKUP(Base_CRM[[#This Row],[Assessor]],[1]DePara!$A:$A,[1]DePara!$D:$D,"Outros",0,1),0,1)</f>
        <v>Raphael Farias</v>
      </c>
      <c r="R400" s="11" t="str">
        <f>_xlfn.XLOOKUP(Base_CRM[[#This Row],[Cód do Cliente]],'[1]F &amp; O'!$A:$A,'[1]F &amp; O'!D:D,"Sem Finder",0,1)</f>
        <v>Sem Finder</v>
      </c>
      <c r="S400" s="11" t="str">
        <f>_xlfn.XLOOKUP(Base_CRM[[#This Row],[Cód do Cliente]],'[1]F &amp; O'!$A:$A,'[1]F &amp; O'!E:E,"Sem Canal",0,1)</f>
        <v>Sem Canal</v>
      </c>
      <c r="T400" s="11" t="str">
        <f t="shared" si="6"/>
        <v>Cliente XP</v>
      </c>
    </row>
    <row r="401" spans="1:20" x14ac:dyDescent="0.3">
      <c r="A401">
        <v>3954813</v>
      </c>
      <c r="B401" s="8" t="s">
        <v>937</v>
      </c>
      <c r="C401" s="9" t="s">
        <v>74</v>
      </c>
      <c r="D401" s="8">
        <v>10000</v>
      </c>
      <c r="E401">
        <v>4000</v>
      </c>
      <c r="F401" t="s">
        <v>92</v>
      </c>
      <c r="G401" t="s">
        <v>35</v>
      </c>
      <c r="H401" s="10">
        <v>31525</v>
      </c>
      <c r="I401" s="10" t="s">
        <v>639</v>
      </c>
      <c r="K401" t="s">
        <v>25</v>
      </c>
      <c r="L401" t="s">
        <v>938</v>
      </c>
      <c r="N401" s="11" t="str">
        <f>Base_CRM[[#This Row],[Cidade]]&amp;"/"&amp;Base_CRM[[#This Row],[Estado]]</f>
        <v>CAMPINAS/</v>
      </c>
      <c r="O401" s="12">
        <f>IFERROR(IF(Base_CRM[[#This Row],[PL Tailor]]&gt;Base_CRM[[#This Row],[PL Declarado]],1,Base_CRM[[#This Row],[PL Tailor]]/Base_CRM[[#This Row],[PL Declarado]]),0)</f>
        <v>1</v>
      </c>
      <c r="P401" s="11" t="str">
        <f>IF(Base_CRM[[#This Row],[Estado Civil]]="","PESSOA JURÍDICA","PESSOA FÍSICA")</f>
        <v>PESSOA FÍSICA</v>
      </c>
      <c r="Q401" t="str">
        <f>_xlfn.XLOOKUP(Base_CRM[[#This Row],[Cód do Cliente]],'[1]F &amp; O'!$A:$A,'[1]F &amp; O'!$F:$F,_xlfn.XLOOKUP(Base_CRM[[#This Row],[Assessor]],[1]DePara!$A:$A,[1]DePara!$D:$D,"Outros",0,1),0,1)</f>
        <v>Thayane Freitas</v>
      </c>
      <c r="R401" s="11" t="str">
        <f>_xlfn.XLOOKUP(Base_CRM[[#This Row],[Cód do Cliente]],'[1]F &amp; O'!$A:$A,'[1]F &amp; O'!D:D,"Sem Finder",0,1)</f>
        <v>Sem Finder</v>
      </c>
      <c r="S401" s="11" t="str">
        <f>_xlfn.XLOOKUP(Base_CRM[[#This Row],[Cód do Cliente]],'[1]F &amp; O'!$A:$A,'[1]F &amp; O'!E:E,"Sem Canal",0,1)</f>
        <v>Sem Canal</v>
      </c>
      <c r="T401" s="11" t="str">
        <f t="shared" si="6"/>
        <v>Cliente XP</v>
      </c>
    </row>
    <row r="402" spans="1:20" x14ac:dyDescent="0.3">
      <c r="A402">
        <v>3967729</v>
      </c>
      <c r="B402" s="8" t="s">
        <v>939</v>
      </c>
      <c r="C402" s="9" t="s">
        <v>103</v>
      </c>
      <c r="D402" s="8">
        <v>1566459.43</v>
      </c>
      <c r="E402">
        <v>1200000</v>
      </c>
      <c r="F402" t="s">
        <v>22</v>
      </c>
      <c r="G402" t="s">
        <v>87</v>
      </c>
      <c r="H402" s="10">
        <v>34988</v>
      </c>
      <c r="I402" s="10" t="s">
        <v>62</v>
      </c>
      <c r="K402" t="s">
        <v>42</v>
      </c>
      <c r="L402" t="s">
        <v>940</v>
      </c>
      <c r="M402" t="s">
        <v>355</v>
      </c>
      <c r="N402" s="11" t="str">
        <f>Base_CRM[[#This Row],[Cidade]]&amp;"/"&amp;Base_CRM[[#This Row],[Estado]]</f>
        <v>Rio de Janeiro/</v>
      </c>
      <c r="O402" s="12">
        <f>IFERROR(IF(Base_CRM[[#This Row],[PL Tailor]]&gt;Base_CRM[[#This Row],[PL Declarado]],1,Base_CRM[[#This Row],[PL Tailor]]/Base_CRM[[#This Row],[PL Declarado]]),0)</f>
        <v>1</v>
      </c>
      <c r="P402" s="11" t="str">
        <f>IF(Base_CRM[[#This Row],[Estado Civil]]="","PESSOA JURÍDICA","PESSOA FÍSICA")</f>
        <v>PESSOA FÍSICA</v>
      </c>
      <c r="Q402" t="str">
        <f>_xlfn.XLOOKUP(Base_CRM[[#This Row],[Cód do Cliente]],'[1]F &amp; O'!$A:$A,'[1]F &amp; O'!$F:$F,_xlfn.XLOOKUP(Base_CRM[[#This Row],[Assessor]],[1]DePara!$A:$A,[1]DePara!$D:$D,"Outros",0,1),0,1)</f>
        <v>Raphael Pereira</v>
      </c>
      <c r="R402" s="11" t="str">
        <f>_xlfn.XLOOKUP(Base_CRM[[#This Row],[Cód do Cliente]],'[1]F &amp; O'!$A:$A,'[1]F &amp; O'!D:D,"Sem Finder",0,1)</f>
        <v>Gustavo Faria</v>
      </c>
      <c r="S402" s="11" t="str">
        <f>_xlfn.XLOOKUP(Base_CRM[[#This Row],[Cód do Cliente]],'[1]F &amp; O'!$A:$A,'[1]F &amp; O'!E:E,"Sem Canal",0,1)</f>
        <v>Sem Canal</v>
      </c>
      <c r="T402" s="11" t="str">
        <f t="shared" si="6"/>
        <v>Cliente XP</v>
      </c>
    </row>
    <row r="403" spans="1:20" x14ac:dyDescent="0.3">
      <c r="A403">
        <v>3979468</v>
      </c>
      <c r="B403" s="8" t="s">
        <v>941</v>
      </c>
      <c r="C403" s="9" t="s">
        <v>34</v>
      </c>
      <c r="D403" s="8">
        <v>468952.42</v>
      </c>
      <c r="E403">
        <v>300000</v>
      </c>
      <c r="F403" t="s">
        <v>22</v>
      </c>
      <c r="G403" t="s">
        <v>52</v>
      </c>
      <c r="H403" s="10">
        <v>29168</v>
      </c>
      <c r="I403" s="10" t="s">
        <v>31</v>
      </c>
      <c r="K403" t="s">
        <v>42</v>
      </c>
      <c r="L403" t="s">
        <v>942</v>
      </c>
      <c r="N403" s="11" t="str">
        <f>Base_CRM[[#This Row],[Cidade]]&amp;"/"&amp;Base_CRM[[#This Row],[Estado]]</f>
        <v>SAO PAULO/</v>
      </c>
      <c r="O403" s="12">
        <f>IFERROR(IF(Base_CRM[[#This Row],[PL Tailor]]&gt;Base_CRM[[#This Row],[PL Declarado]],1,Base_CRM[[#This Row],[PL Tailor]]/Base_CRM[[#This Row],[PL Declarado]]),0)</f>
        <v>1</v>
      </c>
      <c r="P403" s="11" t="str">
        <f>IF(Base_CRM[[#This Row],[Estado Civil]]="","PESSOA JURÍDICA","PESSOA FÍSICA")</f>
        <v>PESSOA FÍSICA</v>
      </c>
      <c r="Q403" t="str">
        <f>_xlfn.XLOOKUP(Base_CRM[[#This Row],[Cód do Cliente]],'[1]F &amp; O'!$A:$A,'[1]F &amp; O'!$F:$F,_xlfn.XLOOKUP(Base_CRM[[#This Row],[Assessor]],[1]DePara!$A:$A,[1]DePara!$D:$D,"Outros",0,1),0,1)</f>
        <v>Adonias Noronha</v>
      </c>
      <c r="R403" s="11" t="str">
        <f>_xlfn.XLOOKUP(Base_CRM[[#This Row],[Cód do Cliente]],'[1]F &amp; O'!$A:$A,'[1]F &amp; O'!D:D,"Sem Finder",0,1)</f>
        <v>José De Marchi</v>
      </c>
      <c r="S403" s="11" t="str">
        <f>_xlfn.XLOOKUP(Base_CRM[[#This Row],[Cód do Cliente]],'[1]F &amp; O'!$A:$A,'[1]F &amp; O'!E:E,"Sem Canal",0,1)</f>
        <v>Sem Canal</v>
      </c>
      <c r="T403" s="11" t="str">
        <f t="shared" si="6"/>
        <v>Cliente XP</v>
      </c>
    </row>
    <row r="404" spans="1:20" x14ac:dyDescent="0.3">
      <c r="A404">
        <v>3982969</v>
      </c>
      <c r="B404" s="8" t="s">
        <v>943</v>
      </c>
      <c r="C404" s="9" t="s">
        <v>74</v>
      </c>
      <c r="D404" s="8">
        <v>0</v>
      </c>
      <c r="E404">
        <v>3500</v>
      </c>
      <c r="F404" t="s">
        <v>22</v>
      </c>
      <c r="G404" t="s">
        <v>67</v>
      </c>
      <c r="H404" s="10">
        <v>32581</v>
      </c>
      <c r="I404" s="10" t="s">
        <v>944</v>
      </c>
      <c r="K404" t="s">
        <v>25</v>
      </c>
      <c r="L404" t="s">
        <v>945</v>
      </c>
      <c r="N404" s="11" t="str">
        <f>Base_CRM[[#This Row],[Cidade]]&amp;"/"&amp;Base_CRM[[#This Row],[Estado]]</f>
        <v>RIO GRANDE/</v>
      </c>
      <c r="O404" s="12">
        <f>IFERROR(IF(Base_CRM[[#This Row],[PL Tailor]]&gt;Base_CRM[[#This Row],[PL Declarado]],1,Base_CRM[[#This Row],[PL Tailor]]/Base_CRM[[#This Row],[PL Declarado]]),0)</f>
        <v>0</v>
      </c>
      <c r="P404" s="11" t="str">
        <f>IF(Base_CRM[[#This Row],[Estado Civil]]="","PESSOA JURÍDICA","PESSOA FÍSICA")</f>
        <v>PESSOA FÍSICA</v>
      </c>
      <c r="Q404" t="str">
        <f>_xlfn.XLOOKUP(Base_CRM[[#This Row],[Cód do Cliente]],'[1]F &amp; O'!$A:$A,'[1]F &amp; O'!$F:$F,_xlfn.XLOOKUP(Base_CRM[[#This Row],[Assessor]],[1]DePara!$A:$A,[1]DePara!$D:$D,"Outros",0,1),0,1)</f>
        <v>Thayane Freitas</v>
      </c>
      <c r="R404" s="11" t="str">
        <f>_xlfn.XLOOKUP(Base_CRM[[#This Row],[Cód do Cliente]],'[1]F &amp; O'!$A:$A,'[1]F &amp; O'!D:D,"Sem Finder",0,1)</f>
        <v>Sem Finder</v>
      </c>
      <c r="S404" s="11" t="str">
        <f>_xlfn.XLOOKUP(Base_CRM[[#This Row],[Cód do Cliente]],'[1]F &amp; O'!$A:$A,'[1]F &amp; O'!E:E,"Sem Canal",0,1)</f>
        <v>Sem Canal</v>
      </c>
      <c r="T404" s="11" t="str">
        <f t="shared" si="6"/>
        <v>Cliente XP</v>
      </c>
    </row>
    <row r="405" spans="1:20" x14ac:dyDescent="0.3">
      <c r="A405">
        <v>401576</v>
      </c>
      <c r="B405" s="8" t="s">
        <v>448</v>
      </c>
      <c r="C405" s="9" t="s">
        <v>39</v>
      </c>
      <c r="D405" s="8">
        <v>669153.28000000003</v>
      </c>
      <c r="E405">
        <v>1250000</v>
      </c>
      <c r="F405" t="s">
        <v>22</v>
      </c>
      <c r="G405" t="s">
        <v>23</v>
      </c>
      <c r="H405" s="10">
        <v>32490</v>
      </c>
      <c r="I405" s="10" t="s">
        <v>379</v>
      </c>
      <c r="K405" t="s">
        <v>42</v>
      </c>
      <c r="L405" t="s">
        <v>449</v>
      </c>
      <c r="N405" s="11" t="str">
        <f>Base_CRM[[#This Row],[Cidade]]&amp;"/"&amp;Base_CRM[[#This Row],[Estado]]</f>
        <v>Barueri/</v>
      </c>
      <c r="O405" s="12">
        <f>IFERROR(IF(Base_CRM[[#This Row],[PL Tailor]]&gt;Base_CRM[[#This Row],[PL Declarado]],1,Base_CRM[[#This Row],[PL Tailor]]/Base_CRM[[#This Row],[PL Declarado]]),0)</f>
        <v>0.53532262399999997</v>
      </c>
      <c r="P405" s="11" t="str">
        <f>IF(Base_CRM[[#This Row],[Estado Civil]]="","PESSOA JURÍDICA","PESSOA FÍSICA")</f>
        <v>PESSOA FÍSICA</v>
      </c>
      <c r="Q405" t="str">
        <f>_xlfn.XLOOKUP(Base_CRM[[#This Row],[Cód do Cliente]],'[1]F &amp; O'!$A:$A,'[1]F &amp; O'!$F:$F,_xlfn.XLOOKUP(Base_CRM[[#This Row],[Assessor]],[1]DePara!$A:$A,[1]DePara!$D:$D,"Outros",0,1),0,1)</f>
        <v>Gestora</v>
      </c>
      <c r="R405" s="11" t="str">
        <f>_xlfn.XLOOKUP(Base_CRM[[#This Row],[Cód do Cliente]],'[1]F &amp; O'!$A:$A,'[1]F &amp; O'!D:D,"Sem Finder",0,1)</f>
        <v>Sem Finder</v>
      </c>
      <c r="S405" s="11" t="str">
        <f>_xlfn.XLOOKUP(Base_CRM[[#This Row],[Cód do Cliente]],'[1]F &amp; O'!$A:$A,'[1]F &amp; O'!E:E,"Sem Canal",0,1)</f>
        <v>Gestora</v>
      </c>
      <c r="T405" s="11" t="str">
        <f t="shared" si="6"/>
        <v>Cliente XP</v>
      </c>
    </row>
    <row r="406" spans="1:20" x14ac:dyDescent="0.3">
      <c r="A406">
        <v>4020157</v>
      </c>
      <c r="B406" s="8" t="s">
        <v>946</v>
      </c>
      <c r="C406" s="9" t="s">
        <v>74</v>
      </c>
      <c r="D406" s="8">
        <v>1093.4100000000001</v>
      </c>
      <c r="E406">
        <v>1000</v>
      </c>
      <c r="F406" t="s">
        <v>29</v>
      </c>
      <c r="G406" t="s">
        <v>947</v>
      </c>
      <c r="H406" s="10">
        <v>34241</v>
      </c>
      <c r="I406" s="10" t="s">
        <v>948</v>
      </c>
      <c r="K406" t="s">
        <v>25</v>
      </c>
      <c r="L406" t="s">
        <v>949</v>
      </c>
      <c r="N406" s="11" t="str">
        <f>Base_CRM[[#This Row],[Cidade]]&amp;"/"&amp;Base_CRM[[#This Row],[Estado]]</f>
        <v>Frederico Westphalen/</v>
      </c>
      <c r="O406" s="12">
        <f>IFERROR(IF(Base_CRM[[#This Row],[PL Tailor]]&gt;Base_CRM[[#This Row],[PL Declarado]],1,Base_CRM[[#This Row],[PL Tailor]]/Base_CRM[[#This Row],[PL Declarado]]),0)</f>
        <v>1</v>
      </c>
      <c r="P406" s="11" t="str">
        <f>IF(Base_CRM[[#This Row],[Estado Civil]]="","PESSOA JURÍDICA","PESSOA FÍSICA")</f>
        <v>PESSOA FÍSICA</v>
      </c>
      <c r="Q406" t="str">
        <f>_xlfn.XLOOKUP(Base_CRM[[#This Row],[Cód do Cliente]],'[1]F &amp; O'!$A:$A,'[1]F &amp; O'!$F:$F,_xlfn.XLOOKUP(Base_CRM[[#This Row],[Assessor]],[1]DePara!$A:$A,[1]DePara!$D:$D,"Outros",0,1),0,1)</f>
        <v>Thayane Freitas</v>
      </c>
      <c r="R406" s="11" t="str">
        <f>_xlfn.XLOOKUP(Base_CRM[[#This Row],[Cód do Cliente]],'[1]F &amp; O'!$A:$A,'[1]F &amp; O'!D:D,"Sem Finder",0,1)</f>
        <v>Sem Finder</v>
      </c>
      <c r="S406" s="11" t="str">
        <f>_xlfn.XLOOKUP(Base_CRM[[#This Row],[Cód do Cliente]],'[1]F &amp; O'!$A:$A,'[1]F &amp; O'!E:E,"Sem Canal",0,1)</f>
        <v>Sem Canal</v>
      </c>
      <c r="T406" s="11" t="str">
        <f t="shared" si="6"/>
        <v>Cliente XP</v>
      </c>
    </row>
    <row r="407" spans="1:20" x14ac:dyDescent="0.3">
      <c r="A407">
        <v>403093</v>
      </c>
      <c r="B407" s="8" t="s">
        <v>950</v>
      </c>
      <c r="C407" s="9" t="s">
        <v>34</v>
      </c>
      <c r="D407" s="8">
        <v>382029.65</v>
      </c>
      <c r="E407">
        <v>0</v>
      </c>
      <c r="F407" t="s">
        <v>29</v>
      </c>
      <c r="G407" t="s">
        <v>96</v>
      </c>
      <c r="H407" s="10">
        <v>19381</v>
      </c>
      <c r="I407" s="10" t="s">
        <v>24</v>
      </c>
      <c r="K407" t="s">
        <v>68</v>
      </c>
      <c r="L407" t="s">
        <v>951</v>
      </c>
      <c r="M407" t="s">
        <v>77</v>
      </c>
      <c r="N407" s="11" t="str">
        <f>Base_CRM[[#This Row],[Cidade]]&amp;"/"&amp;Base_CRM[[#This Row],[Estado]]</f>
        <v>RIO DE JANEIRO/</v>
      </c>
      <c r="O407" s="12">
        <f>IFERROR(IF(Base_CRM[[#This Row],[PL Tailor]]&gt;Base_CRM[[#This Row],[PL Declarado]],1,Base_CRM[[#This Row],[PL Tailor]]/Base_CRM[[#This Row],[PL Declarado]]),0)</f>
        <v>1</v>
      </c>
      <c r="P407" s="11" t="str">
        <f>IF(Base_CRM[[#This Row],[Estado Civil]]="","PESSOA JURÍDICA","PESSOA FÍSICA")</f>
        <v>PESSOA FÍSICA</v>
      </c>
      <c r="Q407" t="str">
        <f>_xlfn.XLOOKUP(Base_CRM[[#This Row],[Cód do Cliente]],'[1]F &amp; O'!$A:$A,'[1]F &amp; O'!$F:$F,_xlfn.XLOOKUP(Base_CRM[[#This Row],[Assessor]],[1]DePara!$A:$A,[1]DePara!$D:$D,"Outros",0,1),0,1)</f>
        <v>Adonias Noronha</v>
      </c>
      <c r="R407" s="11" t="str">
        <f>_xlfn.XLOOKUP(Base_CRM[[#This Row],[Cód do Cliente]],'[1]F &amp; O'!$A:$A,'[1]F &amp; O'!D:D,"Sem Finder",0,1)</f>
        <v>Sem Finder</v>
      </c>
      <c r="S407" s="11" t="str">
        <f>_xlfn.XLOOKUP(Base_CRM[[#This Row],[Cód do Cliente]],'[1]F &amp; O'!$A:$A,'[1]F &amp; O'!E:E,"Sem Canal",0,1)</f>
        <v>Sem Canal</v>
      </c>
      <c r="T407" s="11" t="str">
        <f t="shared" si="6"/>
        <v>Cliente XP</v>
      </c>
    </row>
    <row r="408" spans="1:20" x14ac:dyDescent="0.3">
      <c r="A408">
        <v>403961</v>
      </c>
      <c r="B408" s="8" t="s">
        <v>952</v>
      </c>
      <c r="C408" s="9" t="s">
        <v>48</v>
      </c>
      <c r="D408" s="8">
        <v>3560286.76</v>
      </c>
      <c r="E408">
        <v>1500000</v>
      </c>
      <c r="F408" t="s">
        <v>22</v>
      </c>
      <c r="G408" t="s">
        <v>87</v>
      </c>
      <c r="H408" s="10">
        <v>31556</v>
      </c>
      <c r="I408" s="10" t="s">
        <v>24</v>
      </c>
      <c r="K408" t="s">
        <v>25</v>
      </c>
      <c r="L408" t="s">
        <v>953</v>
      </c>
      <c r="M408" t="s">
        <v>771</v>
      </c>
      <c r="N408" s="11" t="str">
        <f>Base_CRM[[#This Row],[Cidade]]&amp;"/"&amp;Base_CRM[[#This Row],[Estado]]</f>
        <v>RIO DE JANEIRO/</v>
      </c>
      <c r="O408" s="12">
        <f>IFERROR(IF(Base_CRM[[#This Row],[PL Tailor]]&gt;Base_CRM[[#This Row],[PL Declarado]],1,Base_CRM[[#This Row],[PL Tailor]]/Base_CRM[[#This Row],[PL Declarado]]),0)</f>
        <v>1</v>
      </c>
      <c r="P408" s="11" t="str">
        <f>IF(Base_CRM[[#This Row],[Estado Civil]]="","PESSOA JURÍDICA","PESSOA FÍSICA")</f>
        <v>PESSOA FÍSICA</v>
      </c>
      <c r="Q408" t="str">
        <f>_xlfn.XLOOKUP(Base_CRM[[#This Row],[Cód do Cliente]],'[1]F &amp; O'!$A:$A,'[1]F &amp; O'!$F:$F,_xlfn.XLOOKUP(Base_CRM[[#This Row],[Assessor]],[1]DePara!$A:$A,[1]DePara!$D:$D,"Outros",0,1),0,1)</f>
        <v>Raphael Farias</v>
      </c>
      <c r="R408" s="11" t="str">
        <f>_xlfn.XLOOKUP(Base_CRM[[#This Row],[Cód do Cliente]],'[1]F &amp; O'!$A:$A,'[1]F &amp; O'!D:D,"Sem Finder",0,1)</f>
        <v>Sem Finder</v>
      </c>
      <c r="S408" s="11" t="str">
        <f>_xlfn.XLOOKUP(Base_CRM[[#This Row],[Cód do Cliente]],'[1]F &amp; O'!$A:$A,'[1]F &amp; O'!E:E,"Sem Canal",0,1)</f>
        <v>Sem Canal</v>
      </c>
      <c r="T408" s="11" t="str">
        <f t="shared" si="6"/>
        <v>Cliente XP</v>
      </c>
    </row>
    <row r="409" spans="1:20" x14ac:dyDescent="0.3">
      <c r="A409">
        <v>404013</v>
      </c>
      <c r="B409" s="8" t="s">
        <v>954</v>
      </c>
      <c r="C409" s="9" t="s">
        <v>48</v>
      </c>
      <c r="D409" s="8">
        <v>1544499.06</v>
      </c>
      <c r="E409">
        <v>12000000</v>
      </c>
      <c r="F409" t="s">
        <v>22</v>
      </c>
      <c r="G409" t="s">
        <v>87</v>
      </c>
      <c r="H409" s="10">
        <v>30359</v>
      </c>
      <c r="I409" s="10" t="s">
        <v>955</v>
      </c>
      <c r="K409" t="s">
        <v>25</v>
      </c>
      <c r="L409" t="s">
        <v>956</v>
      </c>
      <c r="M409" t="s">
        <v>64</v>
      </c>
      <c r="N409" s="11" t="str">
        <f>Base_CRM[[#This Row],[Cidade]]&amp;"/"&amp;Base_CRM[[#This Row],[Estado]]</f>
        <v>MARINGÁ/</v>
      </c>
      <c r="O409" s="12">
        <f>IFERROR(IF(Base_CRM[[#This Row],[PL Tailor]]&gt;Base_CRM[[#This Row],[PL Declarado]],1,Base_CRM[[#This Row],[PL Tailor]]/Base_CRM[[#This Row],[PL Declarado]]),0)</f>
        <v>0.12870825499999999</v>
      </c>
      <c r="P409" s="11" t="str">
        <f>IF(Base_CRM[[#This Row],[Estado Civil]]="","PESSOA JURÍDICA","PESSOA FÍSICA")</f>
        <v>PESSOA FÍSICA</v>
      </c>
      <c r="Q409" t="str">
        <f>_xlfn.XLOOKUP(Base_CRM[[#This Row],[Cód do Cliente]],'[1]F &amp; O'!$A:$A,'[1]F &amp; O'!$F:$F,_xlfn.XLOOKUP(Base_CRM[[#This Row],[Assessor]],[1]DePara!$A:$A,[1]DePara!$D:$D,"Outros",0,1),0,1)</f>
        <v>Raphael Farias</v>
      </c>
      <c r="R409" s="11" t="str">
        <f>_xlfn.XLOOKUP(Base_CRM[[#This Row],[Cód do Cliente]],'[1]F &amp; O'!$A:$A,'[1]F &amp; O'!D:D,"Sem Finder",0,1)</f>
        <v>Sem Finder</v>
      </c>
      <c r="S409" s="11" t="str">
        <f>_xlfn.XLOOKUP(Base_CRM[[#This Row],[Cód do Cliente]],'[1]F &amp; O'!$A:$A,'[1]F &amp; O'!E:E,"Sem Canal",0,1)</f>
        <v>Sem Canal</v>
      </c>
      <c r="T409" s="11" t="str">
        <f t="shared" si="6"/>
        <v>Cliente XP</v>
      </c>
    </row>
    <row r="410" spans="1:20" x14ac:dyDescent="0.3">
      <c r="A410">
        <v>407938</v>
      </c>
      <c r="B410" s="8" t="s">
        <v>957</v>
      </c>
      <c r="C410" s="9" t="s">
        <v>103</v>
      </c>
      <c r="D410" s="8">
        <v>541750.88</v>
      </c>
      <c r="E410">
        <v>130000</v>
      </c>
      <c r="F410" t="s">
        <v>22</v>
      </c>
      <c r="G410" t="s">
        <v>87</v>
      </c>
      <c r="H410" s="10">
        <v>32821</v>
      </c>
      <c r="I410" s="10" t="s">
        <v>62</v>
      </c>
      <c r="K410" t="s">
        <v>42</v>
      </c>
      <c r="L410" t="s">
        <v>958</v>
      </c>
      <c r="N410" s="11" t="str">
        <f>Base_CRM[[#This Row],[Cidade]]&amp;"/"&amp;Base_CRM[[#This Row],[Estado]]</f>
        <v>Rio de Janeiro/</v>
      </c>
      <c r="O410" s="12">
        <f>IFERROR(IF(Base_CRM[[#This Row],[PL Tailor]]&gt;Base_CRM[[#This Row],[PL Declarado]],1,Base_CRM[[#This Row],[PL Tailor]]/Base_CRM[[#This Row],[PL Declarado]]),0)</f>
        <v>1</v>
      </c>
      <c r="P410" s="11" t="str">
        <f>IF(Base_CRM[[#This Row],[Estado Civil]]="","PESSOA JURÍDICA","PESSOA FÍSICA")</f>
        <v>PESSOA FÍSICA</v>
      </c>
      <c r="Q410" t="str">
        <f>_xlfn.XLOOKUP(Base_CRM[[#This Row],[Cód do Cliente]],'[1]F &amp; O'!$A:$A,'[1]F &amp; O'!$F:$F,_xlfn.XLOOKUP(Base_CRM[[#This Row],[Assessor]],[1]DePara!$A:$A,[1]DePara!$D:$D,"Outros",0,1),0,1)</f>
        <v>Raphael Pereira</v>
      </c>
      <c r="R410" s="11" t="str">
        <f>_xlfn.XLOOKUP(Base_CRM[[#This Row],[Cód do Cliente]],'[1]F &amp; O'!$A:$A,'[1]F &amp; O'!D:D,"Sem Finder",0,1)</f>
        <v>Sem Finder</v>
      </c>
      <c r="S410" s="11" t="str">
        <f>_xlfn.XLOOKUP(Base_CRM[[#This Row],[Cód do Cliente]],'[1]F &amp; O'!$A:$A,'[1]F &amp; O'!E:E,"Sem Canal",0,1)</f>
        <v>Sem Canal</v>
      </c>
      <c r="T410" s="11" t="str">
        <f t="shared" si="6"/>
        <v>Cliente XP</v>
      </c>
    </row>
    <row r="411" spans="1:20" x14ac:dyDescent="0.3">
      <c r="A411">
        <v>410681</v>
      </c>
      <c r="B411" s="8" t="s">
        <v>303</v>
      </c>
      <c r="C411" s="9" t="s">
        <v>103</v>
      </c>
      <c r="D411" s="8">
        <v>7218663.4100000001</v>
      </c>
      <c r="E411">
        <v>8000000</v>
      </c>
      <c r="F411" t="s">
        <v>22</v>
      </c>
      <c r="G411" t="s">
        <v>96</v>
      </c>
      <c r="H411" s="10">
        <v>32869</v>
      </c>
      <c r="I411" s="10" t="s">
        <v>24</v>
      </c>
      <c r="K411" t="s">
        <v>25</v>
      </c>
      <c r="L411" t="s">
        <v>304</v>
      </c>
      <c r="N411" s="11" t="str">
        <f>Base_CRM[[#This Row],[Cidade]]&amp;"/"&amp;Base_CRM[[#This Row],[Estado]]</f>
        <v>RIO DE JANEIRO/</v>
      </c>
      <c r="O411" s="12">
        <f>IFERROR(IF(Base_CRM[[#This Row],[PL Tailor]]&gt;Base_CRM[[#This Row],[PL Declarado]],1,Base_CRM[[#This Row],[PL Tailor]]/Base_CRM[[#This Row],[PL Declarado]]),0)</f>
        <v>0.90233292625000006</v>
      </c>
      <c r="P411" s="11" t="str">
        <f>IF(Base_CRM[[#This Row],[Estado Civil]]="","PESSOA JURÍDICA","PESSOA FÍSICA")</f>
        <v>PESSOA FÍSICA</v>
      </c>
      <c r="Q411" t="str">
        <f>_xlfn.XLOOKUP(Base_CRM[[#This Row],[Cód do Cliente]],'[1]F &amp; O'!$A:$A,'[1]F &amp; O'!$F:$F,_xlfn.XLOOKUP(Base_CRM[[#This Row],[Assessor]],[1]DePara!$A:$A,[1]DePara!$D:$D,"Outros",0,1),0,1)</f>
        <v>Raphael Pereira</v>
      </c>
      <c r="R411" s="11" t="str">
        <f>_xlfn.XLOOKUP(Base_CRM[[#This Row],[Cód do Cliente]],'[1]F &amp; O'!$A:$A,'[1]F &amp; O'!D:D,"Sem Finder",0,1)</f>
        <v>Sem Finder</v>
      </c>
      <c r="S411" s="11" t="str">
        <f>_xlfn.XLOOKUP(Base_CRM[[#This Row],[Cód do Cliente]],'[1]F &amp; O'!$A:$A,'[1]F &amp; O'!E:E,"Sem Canal",0,1)</f>
        <v>Sem Canal</v>
      </c>
      <c r="T411" s="11" t="str">
        <f t="shared" si="6"/>
        <v>Cliente XP</v>
      </c>
    </row>
    <row r="412" spans="1:20" x14ac:dyDescent="0.3">
      <c r="A412">
        <v>41248</v>
      </c>
      <c r="B412" s="8" t="s">
        <v>959</v>
      </c>
      <c r="C412" s="9" t="s">
        <v>21</v>
      </c>
      <c r="D412" s="8">
        <v>35568617.960000001</v>
      </c>
      <c r="E412">
        <v>25000000</v>
      </c>
      <c r="F412" t="s">
        <v>22</v>
      </c>
      <c r="G412" t="s">
        <v>96</v>
      </c>
      <c r="H412" s="10">
        <v>29477</v>
      </c>
      <c r="I412" s="10" t="s">
        <v>24</v>
      </c>
      <c r="K412" t="s">
        <v>42</v>
      </c>
      <c r="L412" t="s">
        <v>960</v>
      </c>
      <c r="M412" t="s">
        <v>64</v>
      </c>
      <c r="N412" s="11" t="str">
        <f>Base_CRM[[#This Row],[Cidade]]&amp;"/"&amp;Base_CRM[[#This Row],[Estado]]</f>
        <v>RIO DE JANEIRO/</v>
      </c>
      <c r="O412" s="12">
        <f>IFERROR(IF(Base_CRM[[#This Row],[PL Tailor]]&gt;Base_CRM[[#This Row],[PL Declarado]],1,Base_CRM[[#This Row],[PL Tailor]]/Base_CRM[[#This Row],[PL Declarado]]),0)</f>
        <v>1</v>
      </c>
      <c r="P412" s="11" t="str">
        <f>IF(Base_CRM[[#This Row],[Estado Civil]]="","PESSOA JURÍDICA","PESSOA FÍSICA")</f>
        <v>PESSOA FÍSICA</v>
      </c>
      <c r="Q412" t="str">
        <f>_xlfn.XLOOKUP(Base_CRM[[#This Row],[Cód do Cliente]],'[1]F &amp; O'!$A:$A,'[1]F &amp; O'!$F:$F,_xlfn.XLOOKUP(Base_CRM[[#This Row],[Assessor]],[1]DePara!$A:$A,[1]DePara!$D:$D,"Outros",0,1),0,1)</f>
        <v>Leonardo Burle</v>
      </c>
      <c r="R412" s="11" t="str">
        <f>_xlfn.XLOOKUP(Base_CRM[[#This Row],[Cód do Cliente]],'[1]F &amp; O'!$A:$A,'[1]F &amp; O'!D:D,"Sem Finder",0,1)</f>
        <v>Sem Finder</v>
      </c>
      <c r="S412" s="11" t="str">
        <f>_xlfn.XLOOKUP(Base_CRM[[#This Row],[Cód do Cliente]],'[1]F &amp; O'!$A:$A,'[1]F &amp; O'!E:E,"Sem Canal",0,1)</f>
        <v>Sem Canal</v>
      </c>
      <c r="T412" s="11" t="str">
        <f t="shared" si="6"/>
        <v>Cliente XP</v>
      </c>
    </row>
    <row r="413" spans="1:20" x14ac:dyDescent="0.3">
      <c r="A413">
        <v>4129999</v>
      </c>
      <c r="B413" s="8" t="s">
        <v>961</v>
      </c>
      <c r="C413" s="9" t="s">
        <v>48</v>
      </c>
      <c r="D413" s="8">
        <v>61526.64</v>
      </c>
      <c r="E413">
        <v>2100000</v>
      </c>
      <c r="F413" t="s">
        <v>22</v>
      </c>
      <c r="G413" t="s">
        <v>30</v>
      </c>
      <c r="H413" s="10">
        <v>33311</v>
      </c>
      <c r="I413" s="10" t="s">
        <v>962</v>
      </c>
      <c r="K413" t="s">
        <v>42</v>
      </c>
      <c r="L413" t="s">
        <v>963</v>
      </c>
      <c r="N413" s="11" t="str">
        <f>Base_CRM[[#This Row],[Cidade]]&amp;"/"&amp;Base_CRM[[#This Row],[Estado]]</f>
        <v>COLOMBO/</v>
      </c>
      <c r="O413" s="12">
        <f>IFERROR(IF(Base_CRM[[#This Row],[PL Tailor]]&gt;Base_CRM[[#This Row],[PL Declarado]],1,Base_CRM[[#This Row],[PL Tailor]]/Base_CRM[[#This Row],[PL Declarado]]),0)</f>
        <v>2.9298399999999999E-2</v>
      </c>
      <c r="P413" s="11" t="str">
        <f>IF(Base_CRM[[#This Row],[Estado Civil]]="","PESSOA JURÍDICA","PESSOA FÍSICA")</f>
        <v>PESSOA FÍSICA</v>
      </c>
      <c r="Q413" t="str">
        <f>_xlfn.XLOOKUP(Base_CRM[[#This Row],[Cód do Cliente]],'[1]F &amp; O'!$A:$A,'[1]F &amp; O'!$F:$F,_xlfn.XLOOKUP(Base_CRM[[#This Row],[Assessor]],[1]DePara!$A:$A,[1]DePara!$D:$D,"Outros",0,1),0,1)</f>
        <v>Raphael Farias</v>
      </c>
      <c r="R413" s="11" t="str">
        <f>_xlfn.XLOOKUP(Base_CRM[[#This Row],[Cód do Cliente]],'[1]F &amp; O'!$A:$A,'[1]F &amp; O'!D:D,"Sem Finder",0,1)</f>
        <v>Sem Finder</v>
      </c>
      <c r="S413" s="11" t="str">
        <f>_xlfn.XLOOKUP(Base_CRM[[#This Row],[Cód do Cliente]],'[1]F &amp; O'!$A:$A,'[1]F &amp; O'!E:E,"Sem Canal",0,1)</f>
        <v>Sem Canal</v>
      </c>
      <c r="T413" s="11" t="str">
        <f t="shared" si="6"/>
        <v>Cliente XP</v>
      </c>
    </row>
    <row r="414" spans="1:20" x14ac:dyDescent="0.3">
      <c r="A414">
        <v>415501</v>
      </c>
      <c r="B414" s="8" t="s">
        <v>964</v>
      </c>
      <c r="C414" s="9" t="s">
        <v>39</v>
      </c>
      <c r="D414" s="8">
        <v>699268.35</v>
      </c>
      <c r="E414">
        <v>1500000</v>
      </c>
      <c r="F414" t="s">
        <v>22</v>
      </c>
      <c r="G414" t="s">
        <v>87</v>
      </c>
      <c r="H414" s="10">
        <v>32544</v>
      </c>
      <c r="I414" s="10" t="s">
        <v>349</v>
      </c>
      <c r="K414" t="s">
        <v>42</v>
      </c>
      <c r="L414" t="s">
        <v>965</v>
      </c>
      <c r="N414" s="11" t="str">
        <f>Base_CRM[[#This Row],[Cidade]]&amp;"/"&amp;Base_CRM[[#This Row],[Estado]]</f>
        <v>São Paulo/</v>
      </c>
      <c r="O414" s="12">
        <f>IFERROR(IF(Base_CRM[[#This Row],[PL Tailor]]&gt;Base_CRM[[#This Row],[PL Declarado]],1,Base_CRM[[#This Row],[PL Tailor]]/Base_CRM[[#This Row],[PL Declarado]]),0)</f>
        <v>0.46617890000000001</v>
      </c>
      <c r="P414" s="11" t="str">
        <f>IF(Base_CRM[[#This Row],[Estado Civil]]="","PESSOA JURÍDICA","PESSOA FÍSICA")</f>
        <v>PESSOA FÍSICA</v>
      </c>
      <c r="Q414" t="str">
        <f>_xlfn.XLOOKUP(Base_CRM[[#This Row],[Cód do Cliente]],'[1]F &amp; O'!$A:$A,'[1]F &amp; O'!$F:$F,_xlfn.XLOOKUP(Base_CRM[[#This Row],[Assessor]],[1]DePara!$A:$A,[1]DePara!$D:$D,"Outros",0,1),0,1)</f>
        <v>Gestora</v>
      </c>
      <c r="R414" s="11" t="str">
        <f>_xlfn.XLOOKUP(Base_CRM[[#This Row],[Cód do Cliente]],'[1]F &amp; O'!$A:$A,'[1]F &amp; O'!D:D,"Sem Finder",0,1)</f>
        <v>Pedro Chagas</v>
      </c>
      <c r="S414" s="11" t="str">
        <f>_xlfn.XLOOKUP(Base_CRM[[#This Row],[Cód do Cliente]],'[1]F &amp; O'!$A:$A,'[1]F &amp; O'!E:E,"Sem Canal",0,1)</f>
        <v>Gestora</v>
      </c>
      <c r="T414" s="11" t="str">
        <f t="shared" si="6"/>
        <v>Cliente XP</v>
      </c>
    </row>
    <row r="415" spans="1:20" x14ac:dyDescent="0.3">
      <c r="A415">
        <v>416046</v>
      </c>
      <c r="B415" s="8" t="s">
        <v>966</v>
      </c>
      <c r="C415" s="9" t="s">
        <v>74</v>
      </c>
      <c r="D415" s="8">
        <v>401090.53</v>
      </c>
      <c r="E415">
        <v>189000</v>
      </c>
      <c r="F415" t="s">
        <v>22</v>
      </c>
      <c r="G415" t="s">
        <v>967</v>
      </c>
      <c r="H415" s="10">
        <v>31704</v>
      </c>
      <c r="I415" s="10" t="s">
        <v>513</v>
      </c>
      <c r="K415" t="s">
        <v>42</v>
      </c>
      <c r="L415" t="s">
        <v>968</v>
      </c>
      <c r="N415" s="11" t="str">
        <f>Base_CRM[[#This Row],[Cidade]]&amp;"/"&amp;Base_CRM[[#This Row],[Estado]]</f>
        <v>ARACAJU/</v>
      </c>
      <c r="O415" s="12">
        <f>IFERROR(IF(Base_CRM[[#This Row],[PL Tailor]]&gt;Base_CRM[[#This Row],[PL Declarado]],1,Base_CRM[[#This Row],[PL Tailor]]/Base_CRM[[#This Row],[PL Declarado]]),0)</f>
        <v>1</v>
      </c>
      <c r="P415" s="11" t="str">
        <f>IF(Base_CRM[[#This Row],[Estado Civil]]="","PESSOA JURÍDICA","PESSOA FÍSICA")</f>
        <v>PESSOA FÍSICA</v>
      </c>
      <c r="Q415" t="str">
        <f>_xlfn.XLOOKUP(Base_CRM[[#This Row],[Cód do Cliente]],'[1]F &amp; O'!$A:$A,'[1]F &amp; O'!$F:$F,_xlfn.XLOOKUP(Base_CRM[[#This Row],[Assessor]],[1]DePara!$A:$A,[1]DePara!$D:$D,"Outros",0,1),0,1)</f>
        <v>Thayane Freitas</v>
      </c>
      <c r="R415" s="11" t="str">
        <f>_xlfn.XLOOKUP(Base_CRM[[#This Row],[Cód do Cliente]],'[1]F &amp; O'!$A:$A,'[1]F &amp; O'!D:D,"Sem Finder",0,1)</f>
        <v>Sem Finder</v>
      </c>
      <c r="S415" s="11" t="str">
        <f>_xlfn.XLOOKUP(Base_CRM[[#This Row],[Cód do Cliente]],'[1]F &amp; O'!$A:$A,'[1]F &amp; O'!E:E,"Sem Canal",0,1)</f>
        <v>Sem Canal</v>
      </c>
      <c r="T415" s="11" t="str">
        <f t="shared" si="6"/>
        <v>Cliente XP</v>
      </c>
    </row>
    <row r="416" spans="1:20" x14ac:dyDescent="0.3">
      <c r="A416">
        <v>4187254</v>
      </c>
      <c r="B416" s="8" t="s">
        <v>969</v>
      </c>
      <c r="C416" s="9" t="s">
        <v>39</v>
      </c>
      <c r="D416" s="8">
        <v>0.23</v>
      </c>
      <c r="E416">
        <v>20000</v>
      </c>
      <c r="F416" t="s">
        <v>29</v>
      </c>
      <c r="G416" t="s">
        <v>35</v>
      </c>
      <c r="H416" s="10">
        <v>35741</v>
      </c>
      <c r="I416" s="10" t="s">
        <v>970</v>
      </c>
      <c r="K416" t="s">
        <v>25</v>
      </c>
      <c r="L416" t="s">
        <v>971</v>
      </c>
      <c r="N416" s="11" t="str">
        <f>Base_CRM[[#This Row],[Cidade]]&amp;"/"&amp;Base_CRM[[#This Row],[Estado]]</f>
        <v>MOGI DAS CRUZES/</v>
      </c>
      <c r="O416" s="12">
        <f>IFERROR(IF(Base_CRM[[#This Row],[PL Tailor]]&gt;Base_CRM[[#This Row],[PL Declarado]],1,Base_CRM[[#This Row],[PL Tailor]]/Base_CRM[[#This Row],[PL Declarado]]),0)</f>
        <v>1.15E-5</v>
      </c>
      <c r="P416" s="11" t="str">
        <f>IF(Base_CRM[[#This Row],[Estado Civil]]="","PESSOA JURÍDICA","PESSOA FÍSICA")</f>
        <v>PESSOA FÍSICA</v>
      </c>
      <c r="Q416" t="str">
        <f>_xlfn.XLOOKUP(Base_CRM[[#This Row],[Cód do Cliente]],'[1]F &amp; O'!$A:$A,'[1]F &amp; O'!$F:$F,_xlfn.XLOOKUP(Base_CRM[[#This Row],[Assessor]],[1]DePara!$A:$A,[1]DePara!$D:$D,"Outros",0,1),0,1)</f>
        <v>Gestora</v>
      </c>
      <c r="R416" s="11" t="str">
        <f>_xlfn.XLOOKUP(Base_CRM[[#This Row],[Cód do Cliente]],'[1]F &amp; O'!$A:$A,'[1]F &amp; O'!D:D,"Sem Finder",0,1)</f>
        <v>Sem Finder</v>
      </c>
      <c r="S416" s="11" t="str">
        <f>_xlfn.XLOOKUP(Base_CRM[[#This Row],[Cód do Cliente]],'[1]F &amp; O'!$A:$A,'[1]F &amp; O'!E:E,"Sem Canal",0,1)</f>
        <v>Gestora</v>
      </c>
      <c r="T416" s="11" t="str">
        <f t="shared" si="6"/>
        <v>Cliente XP</v>
      </c>
    </row>
    <row r="417" spans="1:20" x14ac:dyDescent="0.3">
      <c r="A417">
        <v>4188468</v>
      </c>
      <c r="B417" s="8" t="s">
        <v>972</v>
      </c>
      <c r="C417" s="9" t="s">
        <v>74</v>
      </c>
      <c r="D417" s="8">
        <v>18491.330000000002</v>
      </c>
      <c r="E417">
        <v>0.01</v>
      </c>
      <c r="F417" t="s">
        <v>29</v>
      </c>
      <c r="G417" t="s">
        <v>35</v>
      </c>
      <c r="H417" s="10">
        <v>32587</v>
      </c>
      <c r="I417" s="10" t="s">
        <v>31</v>
      </c>
      <c r="K417" t="s">
        <v>42</v>
      </c>
      <c r="L417" t="s">
        <v>973</v>
      </c>
      <c r="N417" s="11" t="str">
        <f>Base_CRM[[#This Row],[Cidade]]&amp;"/"&amp;Base_CRM[[#This Row],[Estado]]</f>
        <v>SAO PAULO/</v>
      </c>
      <c r="O417" s="12">
        <f>IFERROR(IF(Base_CRM[[#This Row],[PL Tailor]]&gt;Base_CRM[[#This Row],[PL Declarado]],1,Base_CRM[[#This Row],[PL Tailor]]/Base_CRM[[#This Row],[PL Declarado]]),0)</f>
        <v>1</v>
      </c>
      <c r="P417" s="11" t="str">
        <f>IF(Base_CRM[[#This Row],[Estado Civil]]="","PESSOA JURÍDICA","PESSOA FÍSICA")</f>
        <v>PESSOA FÍSICA</v>
      </c>
      <c r="Q417" t="str">
        <f>_xlfn.XLOOKUP(Base_CRM[[#This Row],[Cód do Cliente]],'[1]F &amp; O'!$A:$A,'[1]F &amp; O'!$F:$F,_xlfn.XLOOKUP(Base_CRM[[#This Row],[Assessor]],[1]DePara!$A:$A,[1]DePara!$D:$D,"Outros",0,1),0,1)</f>
        <v>Thayane Freitas</v>
      </c>
      <c r="R417" s="11" t="str">
        <f>_xlfn.XLOOKUP(Base_CRM[[#This Row],[Cód do Cliente]],'[1]F &amp; O'!$A:$A,'[1]F &amp; O'!D:D,"Sem Finder",0,1)</f>
        <v>Sem Finder</v>
      </c>
      <c r="S417" s="11" t="str">
        <f>_xlfn.XLOOKUP(Base_CRM[[#This Row],[Cód do Cliente]],'[1]F &amp; O'!$A:$A,'[1]F &amp; O'!E:E,"Sem Canal",0,1)</f>
        <v>Sem Canal</v>
      </c>
      <c r="T417" s="11" t="str">
        <f t="shared" si="6"/>
        <v>Cliente XP</v>
      </c>
    </row>
    <row r="418" spans="1:20" x14ac:dyDescent="0.3">
      <c r="A418">
        <v>419699</v>
      </c>
      <c r="B418" s="8" t="s">
        <v>974</v>
      </c>
      <c r="C418" s="9" t="s">
        <v>34</v>
      </c>
      <c r="D418" s="8">
        <v>1327888.74</v>
      </c>
      <c r="E418">
        <v>2370093.7999999998</v>
      </c>
      <c r="F418" t="s">
        <v>22</v>
      </c>
      <c r="G418" t="s">
        <v>96</v>
      </c>
      <c r="H418" s="10">
        <v>28907</v>
      </c>
      <c r="I418" s="10" t="s">
        <v>31</v>
      </c>
      <c r="K418" t="s">
        <v>42</v>
      </c>
      <c r="L418" t="s">
        <v>975</v>
      </c>
      <c r="M418" t="s">
        <v>976</v>
      </c>
      <c r="N418" s="11" t="str">
        <f>Base_CRM[[#This Row],[Cidade]]&amp;"/"&amp;Base_CRM[[#This Row],[Estado]]</f>
        <v>SAO PAULO/</v>
      </c>
      <c r="O418" s="12">
        <f>IFERROR(IF(Base_CRM[[#This Row],[PL Tailor]]&gt;Base_CRM[[#This Row],[PL Declarado]],1,Base_CRM[[#This Row],[PL Tailor]]/Base_CRM[[#This Row],[PL Declarado]]),0)</f>
        <v>0.5602684332577893</v>
      </c>
      <c r="P418" s="11" t="str">
        <f>IF(Base_CRM[[#This Row],[Estado Civil]]="","PESSOA JURÍDICA","PESSOA FÍSICA")</f>
        <v>PESSOA FÍSICA</v>
      </c>
      <c r="Q418" t="str">
        <f>_xlfn.XLOOKUP(Base_CRM[[#This Row],[Cód do Cliente]],'[1]F &amp; O'!$A:$A,'[1]F &amp; O'!$F:$F,_xlfn.XLOOKUP(Base_CRM[[#This Row],[Assessor]],[1]DePara!$A:$A,[1]DePara!$D:$D,"Outros",0,1),0,1)</f>
        <v>Adonias Noronha</v>
      </c>
      <c r="R418" s="11" t="str">
        <f>_xlfn.XLOOKUP(Base_CRM[[#This Row],[Cód do Cliente]],'[1]F &amp; O'!$A:$A,'[1]F &amp; O'!D:D,"Sem Finder",0,1)</f>
        <v>Frederico Dantas</v>
      </c>
      <c r="S418" s="11" t="str">
        <f>_xlfn.XLOOKUP(Base_CRM[[#This Row],[Cód do Cliente]],'[1]F &amp; O'!$A:$A,'[1]F &amp; O'!E:E,"Sem Canal",0,1)</f>
        <v>Sem Canal</v>
      </c>
      <c r="T418" s="11" t="str">
        <f t="shared" si="6"/>
        <v>Cliente XP</v>
      </c>
    </row>
    <row r="419" spans="1:20" x14ac:dyDescent="0.3">
      <c r="A419">
        <v>420416</v>
      </c>
      <c r="B419" s="8" t="s">
        <v>977</v>
      </c>
      <c r="C419" s="9" t="s">
        <v>74</v>
      </c>
      <c r="D419" s="8">
        <v>0</v>
      </c>
      <c r="E419">
        <v>0</v>
      </c>
      <c r="F419" t="s">
        <v>22</v>
      </c>
      <c r="G419" t="s">
        <v>491</v>
      </c>
      <c r="H419" s="10">
        <v>29728</v>
      </c>
      <c r="I419" s="10" t="s">
        <v>978</v>
      </c>
      <c r="K419" t="s">
        <v>68</v>
      </c>
      <c r="L419" t="s">
        <v>979</v>
      </c>
      <c r="N419" s="11" t="str">
        <f>Base_CRM[[#This Row],[Cidade]]&amp;"/"&amp;Base_CRM[[#This Row],[Estado]]</f>
        <v>SUZANO/</v>
      </c>
      <c r="O419" s="12">
        <f>IFERROR(IF(Base_CRM[[#This Row],[PL Tailor]]&gt;Base_CRM[[#This Row],[PL Declarado]],1,Base_CRM[[#This Row],[PL Tailor]]/Base_CRM[[#This Row],[PL Declarado]]),0)</f>
        <v>0</v>
      </c>
      <c r="P419" s="11" t="str">
        <f>IF(Base_CRM[[#This Row],[Estado Civil]]="","PESSOA JURÍDICA","PESSOA FÍSICA")</f>
        <v>PESSOA FÍSICA</v>
      </c>
      <c r="Q419" t="str">
        <f>_xlfn.XLOOKUP(Base_CRM[[#This Row],[Cód do Cliente]],'[1]F &amp; O'!$A:$A,'[1]F &amp; O'!$F:$F,_xlfn.XLOOKUP(Base_CRM[[#This Row],[Assessor]],[1]DePara!$A:$A,[1]DePara!$D:$D,"Outros",0,1),0,1)</f>
        <v>Legado</v>
      </c>
      <c r="R419" s="11" t="str">
        <f>_xlfn.XLOOKUP(Base_CRM[[#This Row],[Cód do Cliente]],'[1]F &amp; O'!$A:$A,'[1]F &amp; O'!D:D,"Sem Finder",0,1)</f>
        <v>Sem Finder</v>
      </c>
      <c r="S419" s="11" t="str">
        <f>_xlfn.XLOOKUP(Base_CRM[[#This Row],[Cód do Cliente]],'[1]F &amp; O'!$A:$A,'[1]F &amp; O'!E:E,"Sem Canal",0,1)</f>
        <v>Gestora</v>
      </c>
      <c r="T419" s="11" t="str">
        <f t="shared" si="6"/>
        <v>Cliente XP</v>
      </c>
    </row>
    <row r="420" spans="1:20" x14ac:dyDescent="0.3">
      <c r="A420">
        <v>4207383</v>
      </c>
      <c r="B420" s="8" t="s">
        <v>980</v>
      </c>
      <c r="C420" s="9" t="s">
        <v>74</v>
      </c>
      <c r="D420" s="8">
        <v>0</v>
      </c>
      <c r="E420">
        <v>50000</v>
      </c>
      <c r="F420" t="s">
        <v>92</v>
      </c>
      <c r="G420" t="s">
        <v>35</v>
      </c>
      <c r="H420" s="10">
        <v>35155</v>
      </c>
      <c r="I420" s="10" t="s">
        <v>232</v>
      </c>
      <c r="K420" t="s">
        <v>25</v>
      </c>
      <c r="L420" t="s">
        <v>981</v>
      </c>
      <c r="N420" s="11" t="str">
        <f>Base_CRM[[#This Row],[Cidade]]&amp;"/"&amp;Base_CRM[[#This Row],[Estado]]</f>
        <v>DUQUE DE CAXIAS/</v>
      </c>
      <c r="O420" s="12">
        <f>IFERROR(IF(Base_CRM[[#This Row],[PL Tailor]]&gt;Base_CRM[[#This Row],[PL Declarado]],1,Base_CRM[[#This Row],[PL Tailor]]/Base_CRM[[#This Row],[PL Declarado]]),0)</f>
        <v>0</v>
      </c>
      <c r="P420" s="11" t="str">
        <f>IF(Base_CRM[[#This Row],[Estado Civil]]="","PESSOA JURÍDICA","PESSOA FÍSICA")</f>
        <v>PESSOA FÍSICA</v>
      </c>
      <c r="Q420" t="str">
        <f>_xlfn.XLOOKUP(Base_CRM[[#This Row],[Cód do Cliente]],'[1]F &amp; O'!$A:$A,'[1]F &amp; O'!$F:$F,_xlfn.XLOOKUP(Base_CRM[[#This Row],[Assessor]],[1]DePara!$A:$A,[1]DePara!$D:$D,"Outros",0,1),0,1)</f>
        <v>Thayane Freitas</v>
      </c>
      <c r="R420" s="11" t="str">
        <f>_xlfn.XLOOKUP(Base_CRM[[#This Row],[Cód do Cliente]],'[1]F &amp; O'!$A:$A,'[1]F &amp; O'!D:D,"Sem Finder",0,1)</f>
        <v>Sem Finder</v>
      </c>
      <c r="S420" s="11" t="str">
        <f>_xlfn.XLOOKUP(Base_CRM[[#This Row],[Cód do Cliente]],'[1]F &amp; O'!$A:$A,'[1]F &amp; O'!E:E,"Sem Canal",0,1)</f>
        <v>Sem Canal</v>
      </c>
      <c r="T420" s="11" t="str">
        <f t="shared" si="6"/>
        <v>Cliente XP</v>
      </c>
    </row>
    <row r="421" spans="1:20" x14ac:dyDescent="0.3">
      <c r="A421">
        <v>4217124</v>
      </c>
      <c r="B421" s="8" t="s">
        <v>982</v>
      </c>
      <c r="C421" s="9" t="s">
        <v>74</v>
      </c>
      <c r="D421" s="8">
        <v>60.81</v>
      </c>
      <c r="E421">
        <v>900</v>
      </c>
      <c r="F421" t="s">
        <v>22</v>
      </c>
      <c r="G421" t="s">
        <v>23</v>
      </c>
      <c r="H421" s="10">
        <v>23678</v>
      </c>
      <c r="I421" s="10" t="s">
        <v>24</v>
      </c>
      <c r="K421" t="s">
        <v>42</v>
      </c>
      <c r="L421" t="s">
        <v>983</v>
      </c>
      <c r="N421" s="11" t="str">
        <f>Base_CRM[[#This Row],[Cidade]]&amp;"/"&amp;Base_CRM[[#This Row],[Estado]]</f>
        <v>RIO DE JANEIRO/</v>
      </c>
      <c r="O421" s="12">
        <f>IFERROR(IF(Base_CRM[[#This Row],[PL Tailor]]&gt;Base_CRM[[#This Row],[PL Declarado]],1,Base_CRM[[#This Row],[PL Tailor]]/Base_CRM[[#This Row],[PL Declarado]]),0)</f>
        <v>6.7566666666666664E-2</v>
      </c>
      <c r="P421" s="11" t="str">
        <f>IF(Base_CRM[[#This Row],[Estado Civil]]="","PESSOA JURÍDICA","PESSOA FÍSICA")</f>
        <v>PESSOA FÍSICA</v>
      </c>
      <c r="Q421" t="str">
        <f>_xlfn.XLOOKUP(Base_CRM[[#This Row],[Cód do Cliente]],'[1]F &amp; O'!$A:$A,'[1]F &amp; O'!$F:$F,_xlfn.XLOOKUP(Base_CRM[[#This Row],[Assessor]],[1]DePara!$A:$A,[1]DePara!$D:$D,"Outros",0,1),0,1)</f>
        <v>Thayane Freitas</v>
      </c>
      <c r="R421" s="11" t="str">
        <f>_xlfn.XLOOKUP(Base_CRM[[#This Row],[Cód do Cliente]],'[1]F &amp; O'!$A:$A,'[1]F &amp; O'!D:D,"Sem Finder",0,1)</f>
        <v>Sem Finder</v>
      </c>
      <c r="S421" s="11" t="str">
        <f>_xlfn.XLOOKUP(Base_CRM[[#This Row],[Cód do Cliente]],'[1]F &amp; O'!$A:$A,'[1]F &amp; O'!E:E,"Sem Canal",0,1)</f>
        <v>Sem Canal</v>
      </c>
      <c r="T421" s="11" t="str">
        <f t="shared" si="6"/>
        <v>Cliente XP</v>
      </c>
    </row>
    <row r="422" spans="1:20" x14ac:dyDescent="0.3">
      <c r="A422">
        <v>4224203</v>
      </c>
      <c r="B422" s="8" t="s">
        <v>305</v>
      </c>
      <c r="C422" s="9" t="s">
        <v>103</v>
      </c>
      <c r="D422" s="8">
        <v>6387272.0899999999</v>
      </c>
      <c r="E422">
        <v>5000000</v>
      </c>
      <c r="F422" t="s">
        <v>22</v>
      </c>
      <c r="G422" t="s">
        <v>306</v>
      </c>
      <c r="H422" s="10">
        <v>22090</v>
      </c>
      <c r="I422" s="10" t="s">
        <v>62</v>
      </c>
      <c r="K422" t="s">
        <v>250</v>
      </c>
      <c r="L422" t="s">
        <v>307</v>
      </c>
      <c r="M422" t="s">
        <v>60</v>
      </c>
      <c r="N422" s="11" t="str">
        <f>Base_CRM[[#This Row],[Cidade]]&amp;"/"&amp;Base_CRM[[#This Row],[Estado]]</f>
        <v>Rio de Janeiro/</v>
      </c>
      <c r="O422" s="12">
        <f>IFERROR(IF(Base_CRM[[#This Row],[PL Tailor]]&gt;Base_CRM[[#This Row],[PL Declarado]],1,Base_CRM[[#This Row],[PL Tailor]]/Base_CRM[[#This Row],[PL Declarado]]),0)</f>
        <v>1</v>
      </c>
      <c r="P422" s="11" t="str">
        <f>IF(Base_CRM[[#This Row],[Estado Civil]]="","PESSOA JURÍDICA","PESSOA FÍSICA")</f>
        <v>PESSOA FÍSICA</v>
      </c>
      <c r="Q422" t="str">
        <f>_xlfn.XLOOKUP(Base_CRM[[#This Row],[Cód do Cliente]],'[1]F &amp; O'!$A:$A,'[1]F &amp; O'!$F:$F,_xlfn.XLOOKUP(Base_CRM[[#This Row],[Assessor]],[1]DePara!$A:$A,[1]DePara!$D:$D,"Outros",0,1),0,1)</f>
        <v>Raphael Pereira</v>
      </c>
      <c r="R422" s="11" t="str">
        <f>_xlfn.XLOOKUP(Base_CRM[[#This Row],[Cód do Cliente]],'[1]F &amp; O'!$A:$A,'[1]F &amp; O'!D:D,"Sem Finder",0,1)</f>
        <v>Sem Finder</v>
      </c>
      <c r="S422" s="11" t="str">
        <f>_xlfn.XLOOKUP(Base_CRM[[#This Row],[Cód do Cliente]],'[1]F &amp; O'!$A:$A,'[1]F &amp; O'!E:E,"Sem Canal",0,1)</f>
        <v>Sem Canal</v>
      </c>
      <c r="T422" s="11" t="str">
        <f t="shared" si="6"/>
        <v>Cliente XP</v>
      </c>
    </row>
    <row r="423" spans="1:20" x14ac:dyDescent="0.3">
      <c r="A423">
        <v>4239044</v>
      </c>
      <c r="B423" s="8" t="s">
        <v>984</v>
      </c>
      <c r="C423" s="9" t="s">
        <v>48</v>
      </c>
      <c r="D423" s="8">
        <v>0</v>
      </c>
      <c r="E423">
        <v>56000</v>
      </c>
      <c r="F423" t="s">
        <v>29</v>
      </c>
      <c r="G423" t="s">
        <v>87</v>
      </c>
      <c r="H423" s="10">
        <v>29262</v>
      </c>
      <c r="I423" s="10" t="s">
        <v>31</v>
      </c>
      <c r="K423" t="s">
        <v>42</v>
      </c>
      <c r="L423" t="s">
        <v>985</v>
      </c>
      <c r="N423" s="11" t="str">
        <f>Base_CRM[[#This Row],[Cidade]]&amp;"/"&amp;Base_CRM[[#This Row],[Estado]]</f>
        <v>SAO PAULO/</v>
      </c>
      <c r="O423" s="12">
        <f>IFERROR(IF(Base_CRM[[#This Row],[PL Tailor]]&gt;Base_CRM[[#This Row],[PL Declarado]],1,Base_CRM[[#This Row],[PL Tailor]]/Base_CRM[[#This Row],[PL Declarado]]),0)</f>
        <v>0</v>
      </c>
      <c r="P423" s="11" t="str">
        <f>IF(Base_CRM[[#This Row],[Estado Civil]]="","PESSOA JURÍDICA","PESSOA FÍSICA")</f>
        <v>PESSOA FÍSICA</v>
      </c>
      <c r="Q423" t="str">
        <f>_xlfn.XLOOKUP(Base_CRM[[#This Row],[Cód do Cliente]],'[1]F &amp; O'!$A:$A,'[1]F &amp; O'!$F:$F,_xlfn.XLOOKUP(Base_CRM[[#This Row],[Assessor]],[1]DePara!$A:$A,[1]DePara!$D:$D,"Outros",0,1),0,1)</f>
        <v>Raphael Farias</v>
      </c>
      <c r="R423" s="11" t="str">
        <f>_xlfn.XLOOKUP(Base_CRM[[#This Row],[Cód do Cliente]],'[1]F &amp; O'!$A:$A,'[1]F &amp; O'!D:D,"Sem Finder",0,1)</f>
        <v>José De Marchi</v>
      </c>
      <c r="S423" s="11" t="str">
        <f>_xlfn.XLOOKUP(Base_CRM[[#This Row],[Cód do Cliente]],'[1]F &amp; O'!$A:$A,'[1]F &amp; O'!E:E,"Sem Canal",0,1)</f>
        <v>Sem Canal</v>
      </c>
      <c r="T423" s="11" t="str">
        <f t="shared" si="6"/>
        <v>Cliente XP</v>
      </c>
    </row>
    <row r="424" spans="1:20" x14ac:dyDescent="0.3">
      <c r="A424">
        <v>425051</v>
      </c>
      <c r="B424" s="8" t="s">
        <v>986</v>
      </c>
      <c r="C424" s="9" t="s">
        <v>48</v>
      </c>
      <c r="D424" s="8">
        <v>7449997.1299999999</v>
      </c>
      <c r="E424">
        <v>8000000</v>
      </c>
      <c r="F424" t="s">
        <v>22</v>
      </c>
      <c r="G424" t="s">
        <v>228</v>
      </c>
      <c r="H424" s="10">
        <v>32141</v>
      </c>
      <c r="I424" s="10" t="s">
        <v>115</v>
      </c>
      <c r="K424" t="s">
        <v>42</v>
      </c>
      <c r="L424" t="s">
        <v>987</v>
      </c>
      <c r="M424" t="s">
        <v>381</v>
      </c>
      <c r="N424" s="11" t="str">
        <f>Base_CRM[[#This Row],[Cidade]]&amp;"/"&amp;Base_CRM[[#This Row],[Estado]]</f>
        <v>BARUERI/</v>
      </c>
      <c r="O424" s="12">
        <f>IFERROR(IF(Base_CRM[[#This Row],[PL Tailor]]&gt;Base_CRM[[#This Row],[PL Declarado]],1,Base_CRM[[#This Row],[PL Tailor]]/Base_CRM[[#This Row],[PL Declarado]]),0)</f>
        <v>0.93124964124999998</v>
      </c>
      <c r="P424" s="11" t="str">
        <f>IF(Base_CRM[[#This Row],[Estado Civil]]="","PESSOA JURÍDICA","PESSOA FÍSICA")</f>
        <v>PESSOA FÍSICA</v>
      </c>
      <c r="Q424" t="str">
        <f>_xlfn.XLOOKUP(Base_CRM[[#This Row],[Cód do Cliente]],'[1]F &amp; O'!$A:$A,'[1]F &amp; O'!$F:$F,_xlfn.XLOOKUP(Base_CRM[[#This Row],[Assessor]],[1]DePara!$A:$A,[1]DePara!$D:$D,"Outros",0,1),0,1)</f>
        <v>Raphael Farias</v>
      </c>
      <c r="R424" s="11" t="str">
        <f>_xlfn.XLOOKUP(Base_CRM[[#This Row],[Cód do Cliente]],'[1]F &amp; O'!$A:$A,'[1]F &amp; O'!D:D,"Sem Finder",0,1)</f>
        <v>Sem Finder</v>
      </c>
      <c r="S424" s="11" t="str">
        <f>_xlfn.XLOOKUP(Base_CRM[[#This Row],[Cód do Cliente]],'[1]F &amp; O'!$A:$A,'[1]F &amp; O'!E:E,"Sem Canal",0,1)</f>
        <v>Sem Canal</v>
      </c>
      <c r="T424" s="11" t="str">
        <f t="shared" si="6"/>
        <v>Cliente XP</v>
      </c>
    </row>
    <row r="425" spans="1:20" x14ac:dyDescent="0.3">
      <c r="A425">
        <v>4254520</v>
      </c>
      <c r="B425" s="8" t="s">
        <v>988</v>
      </c>
      <c r="C425" s="9" t="s">
        <v>39</v>
      </c>
      <c r="D425" s="8">
        <v>333.81</v>
      </c>
      <c r="E425">
        <v>10000</v>
      </c>
      <c r="F425" t="s">
        <v>22</v>
      </c>
      <c r="G425" t="s">
        <v>87</v>
      </c>
      <c r="H425" s="10">
        <v>33721</v>
      </c>
      <c r="I425" s="10" t="s">
        <v>31</v>
      </c>
      <c r="K425" t="s">
        <v>25</v>
      </c>
      <c r="L425" t="s">
        <v>989</v>
      </c>
      <c r="N425" s="11" t="str">
        <f>Base_CRM[[#This Row],[Cidade]]&amp;"/"&amp;Base_CRM[[#This Row],[Estado]]</f>
        <v>SAO PAULO/</v>
      </c>
      <c r="O425" s="12">
        <f>IFERROR(IF(Base_CRM[[#This Row],[PL Tailor]]&gt;Base_CRM[[#This Row],[PL Declarado]],1,Base_CRM[[#This Row],[PL Tailor]]/Base_CRM[[#This Row],[PL Declarado]]),0)</f>
        <v>3.3381000000000001E-2</v>
      </c>
      <c r="P425" s="11" t="str">
        <f>IF(Base_CRM[[#This Row],[Estado Civil]]="","PESSOA JURÍDICA","PESSOA FÍSICA")</f>
        <v>PESSOA FÍSICA</v>
      </c>
      <c r="Q425" t="str">
        <f>_xlfn.XLOOKUP(Base_CRM[[#This Row],[Cód do Cliente]],'[1]F &amp; O'!$A:$A,'[1]F &amp; O'!$F:$F,_xlfn.XLOOKUP(Base_CRM[[#This Row],[Assessor]],[1]DePara!$A:$A,[1]DePara!$D:$D,"Outros",0,1),0,1)</f>
        <v>Gestora</v>
      </c>
      <c r="R425" s="11" t="str">
        <f>_xlfn.XLOOKUP(Base_CRM[[#This Row],[Cód do Cliente]],'[1]F &amp; O'!$A:$A,'[1]F &amp; O'!D:D,"Sem Finder",0,1)</f>
        <v>Sem Finder</v>
      </c>
      <c r="S425" s="11" t="str">
        <f>_xlfn.XLOOKUP(Base_CRM[[#This Row],[Cód do Cliente]],'[1]F &amp; O'!$A:$A,'[1]F &amp; O'!E:E,"Sem Canal",0,1)</f>
        <v>Gestora</v>
      </c>
      <c r="T425" s="11" t="str">
        <f t="shared" si="6"/>
        <v>Cliente XP</v>
      </c>
    </row>
    <row r="426" spans="1:20" x14ac:dyDescent="0.3">
      <c r="A426">
        <v>4262045</v>
      </c>
      <c r="B426" s="8" t="s">
        <v>990</v>
      </c>
      <c r="C426" s="9" t="s">
        <v>39</v>
      </c>
      <c r="D426" s="8">
        <v>219630.33</v>
      </c>
      <c r="E426">
        <v>0</v>
      </c>
      <c r="F426" t="s">
        <v>92</v>
      </c>
      <c r="G426" t="s">
        <v>87</v>
      </c>
      <c r="H426" s="10">
        <v>33017</v>
      </c>
      <c r="I426" s="10" t="s">
        <v>31</v>
      </c>
      <c r="K426" t="s">
        <v>25</v>
      </c>
      <c r="L426" t="s">
        <v>991</v>
      </c>
      <c r="N426" s="11" t="str">
        <f>Base_CRM[[#This Row],[Cidade]]&amp;"/"&amp;Base_CRM[[#This Row],[Estado]]</f>
        <v>SAO PAULO/</v>
      </c>
      <c r="O426" s="12">
        <f>IFERROR(IF(Base_CRM[[#This Row],[PL Tailor]]&gt;Base_CRM[[#This Row],[PL Declarado]],1,Base_CRM[[#This Row],[PL Tailor]]/Base_CRM[[#This Row],[PL Declarado]]),0)</f>
        <v>1</v>
      </c>
      <c r="P426" s="11" t="str">
        <f>IF(Base_CRM[[#This Row],[Estado Civil]]="","PESSOA JURÍDICA","PESSOA FÍSICA")</f>
        <v>PESSOA FÍSICA</v>
      </c>
      <c r="Q426" t="str">
        <f>_xlfn.XLOOKUP(Base_CRM[[#This Row],[Cód do Cliente]],'[1]F &amp; O'!$A:$A,'[1]F &amp; O'!$F:$F,_xlfn.XLOOKUP(Base_CRM[[#This Row],[Assessor]],[1]DePara!$A:$A,[1]DePara!$D:$D,"Outros",0,1),0,1)</f>
        <v>Gestora</v>
      </c>
      <c r="R426" s="11" t="str">
        <f>_xlfn.XLOOKUP(Base_CRM[[#This Row],[Cód do Cliente]],'[1]F &amp; O'!$A:$A,'[1]F &amp; O'!D:D,"Sem Finder",0,1)</f>
        <v>Sem Finder</v>
      </c>
      <c r="S426" s="11" t="str">
        <f>_xlfn.XLOOKUP(Base_CRM[[#This Row],[Cód do Cliente]],'[1]F &amp; O'!$A:$A,'[1]F &amp; O'!E:E,"Sem Canal",0,1)</f>
        <v>Gestora</v>
      </c>
      <c r="T426" s="11" t="str">
        <f t="shared" si="6"/>
        <v>Cliente XP</v>
      </c>
    </row>
    <row r="427" spans="1:20" x14ac:dyDescent="0.3">
      <c r="A427">
        <v>4276704</v>
      </c>
      <c r="B427" s="8" t="s">
        <v>992</v>
      </c>
      <c r="C427" s="9" t="s">
        <v>39</v>
      </c>
      <c r="D427" s="8">
        <v>186.13</v>
      </c>
      <c r="E427">
        <v>150000</v>
      </c>
      <c r="F427" t="s">
        <v>92</v>
      </c>
      <c r="G427" t="s">
        <v>993</v>
      </c>
      <c r="H427" s="10">
        <v>31069</v>
      </c>
      <c r="I427" s="10" t="s">
        <v>31</v>
      </c>
      <c r="K427" t="s">
        <v>104</v>
      </c>
      <c r="L427" t="s">
        <v>994</v>
      </c>
      <c r="N427" s="11" t="str">
        <f>Base_CRM[[#This Row],[Cidade]]&amp;"/"&amp;Base_CRM[[#This Row],[Estado]]</f>
        <v>SAO PAULO/</v>
      </c>
      <c r="O427" s="12">
        <f>IFERROR(IF(Base_CRM[[#This Row],[PL Tailor]]&gt;Base_CRM[[#This Row],[PL Declarado]],1,Base_CRM[[#This Row],[PL Tailor]]/Base_CRM[[#This Row],[PL Declarado]]),0)</f>
        <v>1.2408666666666667E-3</v>
      </c>
      <c r="P427" s="11" t="str">
        <f>IF(Base_CRM[[#This Row],[Estado Civil]]="","PESSOA JURÍDICA","PESSOA FÍSICA")</f>
        <v>PESSOA FÍSICA</v>
      </c>
      <c r="Q427" t="str">
        <f>_xlfn.XLOOKUP(Base_CRM[[#This Row],[Cód do Cliente]],'[1]F &amp; O'!$A:$A,'[1]F &amp; O'!$F:$F,_xlfn.XLOOKUP(Base_CRM[[#This Row],[Assessor]],[1]DePara!$A:$A,[1]DePara!$D:$D,"Outros",0,1),0,1)</f>
        <v>Gestora</v>
      </c>
      <c r="R427" s="11" t="str">
        <f>_xlfn.XLOOKUP(Base_CRM[[#This Row],[Cód do Cliente]],'[1]F &amp; O'!$A:$A,'[1]F &amp; O'!D:D,"Sem Finder",0,1)</f>
        <v>Sem Finder</v>
      </c>
      <c r="S427" s="11" t="str">
        <f>_xlfn.XLOOKUP(Base_CRM[[#This Row],[Cód do Cliente]],'[1]F &amp; O'!$A:$A,'[1]F &amp; O'!E:E,"Sem Canal",0,1)</f>
        <v>Gestora</v>
      </c>
      <c r="T427" s="11" t="str">
        <f t="shared" si="6"/>
        <v>Cliente XP</v>
      </c>
    </row>
    <row r="428" spans="1:20" x14ac:dyDescent="0.3">
      <c r="A428">
        <v>4280769</v>
      </c>
      <c r="B428" s="8" t="s">
        <v>995</v>
      </c>
      <c r="C428" s="9" t="s">
        <v>21</v>
      </c>
      <c r="D428" s="8">
        <v>2183205.9900000002</v>
      </c>
      <c r="E428">
        <v>1000000</v>
      </c>
      <c r="F428" t="s">
        <v>29</v>
      </c>
      <c r="G428" t="s">
        <v>23</v>
      </c>
      <c r="H428" s="10">
        <v>23241</v>
      </c>
      <c r="I428" s="10" t="s">
        <v>24</v>
      </c>
      <c r="K428" t="s">
        <v>104</v>
      </c>
      <c r="L428" t="s">
        <v>996</v>
      </c>
      <c r="N428" s="11" t="str">
        <f>Base_CRM[[#This Row],[Cidade]]&amp;"/"&amp;Base_CRM[[#This Row],[Estado]]</f>
        <v>RIO DE JANEIRO/</v>
      </c>
      <c r="O428" s="12">
        <f>IFERROR(IF(Base_CRM[[#This Row],[PL Tailor]]&gt;Base_CRM[[#This Row],[PL Declarado]],1,Base_CRM[[#This Row],[PL Tailor]]/Base_CRM[[#This Row],[PL Declarado]]),0)</f>
        <v>1</v>
      </c>
      <c r="P428" s="11" t="str">
        <f>IF(Base_CRM[[#This Row],[Estado Civil]]="","PESSOA JURÍDICA","PESSOA FÍSICA")</f>
        <v>PESSOA FÍSICA</v>
      </c>
      <c r="Q428" t="str">
        <f>_xlfn.XLOOKUP(Base_CRM[[#This Row],[Cód do Cliente]],'[1]F &amp; O'!$A:$A,'[1]F &amp; O'!$F:$F,_xlfn.XLOOKUP(Base_CRM[[#This Row],[Assessor]],[1]DePara!$A:$A,[1]DePara!$D:$D,"Outros",0,1),0,1)</f>
        <v>Leonardo Burle</v>
      </c>
      <c r="R428" s="11" t="str">
        <f>_xlfn.XLOOKUP(Base_CRM[[#This Row],[Cód do Cliente]],'[1]F &amp; O'!$A:$A,'[1]F &amp; O'!D:D,"Sem Finder",0,1)</f>
        <v>Sem Finder</v>
      </c>
      <c r="S428" s="11" t="str">
        <f>_xlfn.XLOOKUP(Base_CRM[[#This Row],[Cód do Cliente]],'[1]F &amp; O'!$A:$A,'[1]F &amp; O'!E:E,"Sem Canal",0,1)</f>
        <v>Sem Canal</v>
      </c>
      <c r="T428" s="11" t="str">
        <f t="shared" si="6"/>
        <v>Cliente XP</v>
      </c>
    </row>
    <row r="429" spans="1:20" x14ac:dyDescent="0.3">
      <c r="A429">
        <v>4293274</v>
      </c>
      <c r="B429" s="8" t="s">
        <v>997</v>
      </c>
      <c r="C429" s="9" t="s">
        <v>74</v>
      </c>
      <c r="D429" s="8">
        <v>16387.810000000001</v>
      </c>
      <c r="E429">
        <v>15000</v>
      </c>
      <c r="F429" t="s">
        <v>22</v>
      </c>
      <c r="G429" t="s">
        <v>87</v>
      </c>
      <c r="H429" s="10">
        <v>31614</v>
      </c>
      <c r="I429" s="10" t="s">
        <v>24</v>
      </c>
      <c r="K429" t="s">
        <v>25</v>
      </c>
      <c r="L429" t="s">
        <v>998</v>
      </c>
      <c r="N429" s="11" t="str">
        <f>Base_CRM[[#This Row],[Cidade]]&amp;"/"&amp;Base_CRM[[#This Row],[Estado]]</f>
        <v>RIO DE JANEIRO/</v>
      </c>
      <c r="O429" s="12">
        <f>IFERROR(IF(Base_CRM[[#This Row],[PL Tailor]]&gt;Base_CRM[[#This Row],[PL Declarado]],1,Base_CRM[[#This Row],[PL Tailor]]/Base_CRM[[#This Row],[PL Declarado]]),0)</f>
        <v>1</v>
      </c>
      <c r="P429" s="11" t="str">
        <f>IF(Base_CRM[[#This Row],[Estado Civil]]="","PESSOA JURÍDICA","PESSOA FÍSICA")</f>
        <v>PESSOA FÍSICA</v>
      </c>
      <c r="Q429" t="str">
        <f>_xlfn.XLOOKUP(Base_CRM[[#This Row],[Cód do Cliente]],'[1]F &amp; O'!$A:$A,'[1]F &amp; O'!$F:$F,_xlfn.XLOOKUP(Base_CRM[[#This Row],[Assessor]],[1]DePara!$A:$A,[1]DePara!$D:$D,"Outros",0,1),0,1)</f>
        <v>Thayane Freitas</v>
      </c>
      <c r="R429" s="11" t="str">
        <f>_xlfn.XLOOKUP(Base_CRM[[#This Row],[Cód do Cliente]],'[1]F &amp; O'!$A:$A,'[1]F &amp; O'!D:D,"Sem Finder",0,1)</f>
        <v>Sem Finder</v>
      </c>
      <c r="S429" s="11" t="str">
        <f>_xlfn.XLOOKUP(Base_CRM[[#This Row],[Cód do Cliente]],'[1]F &amp; O'!$A:$A,'[1]F &amp; O'!E:E,"Sem Canal",0,1)</f>
        <v>Sem Canal</v>
      </c>
      <c r="T429" s="11" t="str">
        <f t="shared" si="6"/>
        <v>Cliente XP</v>
      </c>
    </row>
    <row r="430" spans="1:20" x14ac:dyDescent="0.3">
      <c r="A430">
        <v>429429</v>
      </c>
      <c r="B430" s="8" t="s">
        <v>999</v>
      </c>
      <c r="C430" s="9" t="s">
        <v>34</v>
      </c>
      <c r="D430" s="8">
        <v>1567647.49</v>
      </c>
      <c r="E430">
        <v>54000</v>
      </c>
      <c r="F430" t="s">
        <v>29</v>
      </c>
      <c r="G430" t="s">
        <v>35</v>
      </c>
      <c r="H430" s="10">
        <v>33225</v>
      </c>
      <c r="I430" s="10" t="s">
        <v>31</v>
      </c>
      <c r="K430" t="s">
        <v>25</v>
      </c>
      <c r="L430" t="s">
        <v>1000</v>
      </c>
      <c r="N430" s="11" t="str">
        <f>Base_CRM[[#This Row],[Cidade]]&amp;"/"&amp;Base_CRM[[#This Row],[Estado]]</f>
        <v>SAO PAULO/</v>
      </c>
      <c r="O430" s="12">
        <f>IFERROR(IF(Base_CRM[[#This Row],[PL Tailor]]&gt;Base_CRM[[#This Row],[PL Declarado]],1,Base_CRM[[#This Row],[PL Tailor]]/Base_CRM[[#This Row],[PL Declarado]]),0)</f>
        <v>1</v>
      </c>
      <c r="P430" s="11" t="str">
        <f>IF(Base_CRM[[#This Row],[Estado Civil]]="","PESSOA JURÍDICA","PESSOA FÍSICA")</f>
        <v>PESSOA FÍSICA</v>
      </c>
      <c r="Q430" t="str">
        <f>_xlfn.XLOOKUP(Base_CRM[[#This Row],[Cód do Cliente]],'[1]F &amp; O'!$A:$A,'[1]F &amp; O'!$F:$F,_xlfn.XLOOKUP(Base_CRM[[#This Row],[Assessor]],[1]DePara!$A:$A,[1]DePara!$D:$D,"Outros",0,1),0,1)</f>
        <v>Adonias Noronha</v>
      </c>
      <c r="R430" s="11" t="str">
        <f>_xlfn.XLOOKUP(Base_CRM[[#This Row],[Cód do Cliente]],'[1]F &amp; O'!$A:$A,'[1]F &amp; O'!D:D,"Sem Finder",0,1)</f>
        <v>Sem Finder</v>
      </c>
      <c r="S430" s="11" t="str">
        <f>_xlfn.XLOOKUP(Base_CRM[[#This Row],[Cód do Cliente]],'[1]F &amp; O'!$A:$A,'[1]F &amp; O'!E:E,"Sem Canal",0,1)</f>
        <v>Sem Canal</v>
      </c>
      <c r="T430" s="11" t="str">
        <f t="shared" si="6"/>
        <v>Cliente XP</v>
      </c>
    </row>
    <row r="431" spans="1:20" x14ac:dyDescent="0.3">
      <c r="A431">
        <v>4314502</v>
      </c>
      <c r="B431" s="8" t="s">
        <v>1001</v>
      </c>
      <c r="C431" s="9" t="s">
        <v>74</v>
      </c>
      <c r="D431" s="8">
        <v>0.9</v>
      </c>
      <c r="E431">
        <v>30000</v>
      </c>
      <c r="F431" t="s">
        <v>29</v>
      </c>
      <c r="G431" t="s">
        <v>207</v>
      </c>
      <c r="H431" s="10">
        <v>29268</v>
      </c>
      <c r="I431" s="10" t="s">
        <v>31</v>
      </c>
      <c r="K431" t="s">
        <v>42</v>
      </c>
      <c r="L431" t="s">
        <v>1002</v>
      </c>
      <c r="N431" s="11" t="str">
        <f>Base_CRM[[#This Row],[Cidade]]&amp;"/"&amp;Base_CRM[[#This Row],[Estado]]</f>
        <v>SAO PAULO/</v>
      </c>
      <c r="O431" s="12">
        <f>IFERROR(IF(Base_CRM[[#This Row],[PL Tailor]]&gt;Base_CRM[[#This Row],[PL Declarado]],1,Base_CRM[[#This Row],[PL Tailor]]/Base_CRM[[#This Row],[PL Declarado]]),0)</f>
        <v>3.0000000000000001E-5</v>
      </c>
      <c r="P431" s="11" t="str">
        <f>IF(Base_CRM[[#This Row],[Estado Civil]]="","PESSOA JURÍDICA","PESSOA FÍSICA")</f>
        <v>PESSOA FÍSICA</v>
      </c>
      <c r="Q431" t="str">
        <f>_xlfn.XLOOKUP(Base_CRM[[#This Row],[Cód do Cliente]],'[1]F &amp; O'!$A:$A,'[1]F &amp; O'!$F:$F,_xlfn.XLOOKUP(Base_CRM[[#This Row],[Assessor]],[1]DePara!$A:$A,[1]DePara!$D:$D,"Outros",0,1),0,1)</f>
        <v>Gestora</v>
      </c>
      <c r="R431" s="11" t="str">
        <f>_xlfn.XLOOKUP(Base_CRM[[#This Row],[Cód do Cliente]],'[1]F &amp; O'!$A:$A,'[1]F &amp; O'!D:D,"Sem Finder",0,1)</f>
        <v>Sem Finder</v>
      </c>
      <c r="S431" s="11" t="str">
        <f>_xlfn.XLOOKUP(Base_CRM[[#This Row],[Cód do Cliente]],'[1]F &amp; O'!$A:$A,'[1]F &amp; O'!E:E,"Sem Canal",0,1)</f>
        <v>Gestora</v>
      </c>
      <c r="T431" s="11" t="str">
        <f t="shared" si="6"/>
        <v>Cliente XP</v>
      </c>
    </row>
    <row r="432" spans="1:20" x14ac:dyDescent="0.3">
      <c r="A432">
        <v>4321162</v>
      </c>
      <c r="B432" s="8" t="s">
        <v>1003</v>
      </c>
      <c r="C432" s="9" t="s">
        <v>39</v>
      </c>
      <c r="D432" s="8">
        <v>0</v>
      </c>
      <c r="E432">
        <v>30000</v>
      </c>
      <c r="F432" t="s">
        <v>22</v>
      </c>
      <c r="G432" t="s">
        <v>141</v>
      </c>
      <c r="H432" s="10">
        <v>29207</v>
      </c>
      <c r="I432" s="10" t="s">
        <v>31</v>
      </c>
      <c r="K432" t="s">
        <v>42</v>
      </c>
      <c r="L432" t="s">
        <v>1004</v>
      </c>
      <c r="N432" s="11" t="str">
        <f>Base_CRM[[#This Row],[Cidade]]&amp;"/"&amp;Base_CRM[[#This Row],[Estado]]</f>
        <v>SAO PAULO/</v>
      </c>
      <c r="O432" s="12">
        <f>IFERROR(IF(Base_CRM[[#This Row],[PL Tailor]]&gt;Base_CRM[[#This Row],[PL Declarado]],1,Base_CRM[[#This Row],[PL Tailor]]/Base_CRM[[#This Row],[PL Declarado]]),0)</f>
        <v>0</v>
      </c>
      <c r="P432" s="11" t="str">
        <f>IF(Base_CRM[[#This Row],[Estado Civil]]="","PESSOA JURÍDICA","PESSOA FÍSICA")</f>
        <v>PESSOA FÍSICA</v>
      </c>
      <c r="Q432" t="str">
        <f>_xlfn.XLOOKUP(Base_CRM[[#This Row],[Cód do Cliente]],'[1]F &amp; O'!$A:$A,'[1]F &amp; O'!$F:$F,_xlfn.XLOOKUP(Base_CRM[[#This Row],[Assessor]],[1]DePara!$A:$A,[1]DePara!$D:$D,"Outros",0,1),0,1)</f>
        <v>Gestora</v>
      </c>
      <c r="R432" s="11" t="str">
        <f>_xlfn.XLOOKUP(Base_CRM[[#This Row],[Cód do Cliente]],'[1]F &amp; O'!$A:$A,'[1]F &amp; O'!D:D,"Sem Finder",0,1)</f>
        <v>Sem Finder</v>
      </c>
      <c r="S432" s="11" t="str">
        <f>_xlfn.XLOOKUP(Base_CRM[[#This Row],[Cód do Cliente]],'[1]F &amp; O'!$A:$A,'[1]F &amp; O'!E:E,"Sem Canal",0,1)</f>
        <v>Gestora</v>
      </c>
      <c r="T432" s="11" t="str">
        <f t="shared" si="6"/>
        <v>Cliente XP</v>
      </c>
    </row>
    <row r="433" spans="1:20" x14ac:dyDescent="0.3">
      <c r="A433">
        <v>4337325</v>
      </c>
      <c r="B433" s="8" t="s">
        <v>1005</v>
      </c>
      <c r="C433" s="9" t="s">
        <v>39</v>
      </c>
      <c r="D433" s="8">
        <v>769725.47</v>
      </c>
      <c r="E433">
        <v>2000000</v>
      </c>
      <c r="F433" t="s">
        <v>29</v>
      </c>
      <c r="G433" t="s">
        <v>87</v>
      </c>
      <c r="H433" s="10">
        <v>33478</v>
      </c>
      <c r="I433" s="10" t="s">
        <v>31</v>
      </c>
      <c r="K433" t="s">
        <v>25</v>
      </c>
      <c r="L433" t="s">
        <v>1006</v>
      </c>
      <c r="N433" s="11" t="str">
        <f>Base_CRM[[#This Row],[Cidade]]&amp;"/"&amp;Base_CRM[[#This Row],[Estado]]</f>
        <v>SAO PAULO/</v>
      </c>
      <c r="O433" s="12">
        <f>IFERROR(IF(Base_CRM[[#This Row],[PL Tailor]]&gt;Base_CRM[[#This Row],[PL Declarado]],1,Base_CRM[[#This Row],[PL Tailor]]/Base_CRM[[#This Row],[PL Declarado]]),0)</f>
        <v>0.38486273500000001</v>
      </c>
      <c r="P433" s="11" t="str">
        <f>IF(Base_CRM[[#This Row],[Estado Civil]]="","PESSOA JURÍDICA","PESSOA FÍSICA")</f>
        <v>PESSOA FÍSICA</v>
      </c>
      <c r="Q433" t="str">
        <f>_xlfn.XLOOKUP(Base_CRM[[#This Row],[Cód do Cliente]],'[1]F &amp; O'!$A:$A,'[1]F &amp; O'!$F:$F,_xlfn.XLOOKUP(Base_CRM[[#This Row],[Assessor]],[1]DePara!$A:$A,[1]DePara!$D:$D,"Outros",0,1),0,1)</f>
        <v>Gestora</v>
      </c>
      <c r="R433" s="11" t="str">
        <f>_xlfn.XLOOKUP(Base_CRM[[#This Row],[Cód do Cliente]],'[1]F &amp; O'!$A:$A,'[1]F &amp; O'!D:D,"Sem Finder",0,1)</f>
        <v>Pedro Chagas</v>
      </c>
      <c r="S433" s="11" t="str">
        <f>_xlfn.XLOOKUP(Base_CRM[[#This Row],[Cód do Cliente]],'[1]F &amp; O'!$A:$A,'[1]F &amp; O'!E:E,"Sem Canal",0,1)</f>
        <v>Gestora</v>
      </c>
      <c r="T433" s="11" t="str">
        <f t="shared" si="6"/>
        <v>Cliente XP</v>
      </c>
    </row>
    <row r="434" spans="1:20" x14ac:dyDescent="0.3">
      <c r="A434">
        <v>43542</v>
      </c>
      <c r="B434" s="8" t="s">
        <v>1007</v>
      </c>
      <c r="C434" s="9" t="s">
        <v>48</v>
      </c>
      <c r="D434" s="8">
        <v>1488026.74</v>
      </c>
      <c r="E434">
        <v>1500000</v>
      </c>
      <c r="F434" t="s">
        <v>22</v>
      </c>
      <c r="G434" t="s">
        <v>57</v>
      </c>
      <c r="H434" s="10">
        <v>29051</v>
      </c>
      <c r="I434" s="10" t="s">
        <v>84</v>
      </c>
      <c r="K434" t="s">
        <v>25</v>
      </c>
      <c r="L434" t="s">
        <v>1008</v>
      </c>
      <c r="N434" s="11" t="str">
        <f>Base_CRM[[#This Row],[Cidade]]&amp;"/"&amp;Base_CRM[[#This Row],[Estado]]</f>
        <v>NITEROI/</v>
      </c>
      <c r="O434" s="12">
        <f>IFERROR(IF(Base_CRM[[#This Row],[PL Tailor]]&gt;Base_CRM[[#This Row],[PL Declarado]],1,Base_CRM[[#This Row],[PL Tailor]]/Base_CRM[[#This Row],[PL Declarado]]),0)</f>
        <v>0.99201782666666671</v>
      </c>
      <c r="P434" s="11" t="str">
        <f>IF(Base_CRM[[#This Row],[Estado Civil]]="","PESSOA JURÍDICA","PESSOA FÍSICA")</f>
        <v>PESSOA FÍSICA</v>
      </c>
      <c r="Q434" t="str">
        <f>_xlfn.XLOOKUP(Base_CRM[[#This Row],[Cód do Cliente]],'[1]F &amp; O'!$A:$A,'[1]F &amp; O'!$F:$F,_xlfn.XLOOKUP(Base_CRM[[#This Row],[Assessor]],[1]DePara!$A:$A,[1]DePara!$D:$D,"Outros",0,1),0,1)</f>
        <v>Raphael Farias</v>
      </c>
      <c r="R434" s="11" t="str">
        <f>_xlfn.XLOOKUP(Base_CRM[[#This Row],[Cód do Cliente]],'[1]F &amp; O'!$A:$A,'[1]F &amp; O'!D:D,"Sem Finder",0,1)</f>
        <v>Sem Finder</v>
      </c>
      <c r="S434" s="11" t="str">
        <f>_xlfn.XLOOKUP(Base_CRM[[#This Row],[Cód do Cliente]],'[1]F &amp; O'!$A:$A,'[1]F &amp; O'!E:E,"Sem Canal",0,1)</f>
        <v>Sem Canal</v>
      </c>
      <c r="T434" s="11" t="str">
        <f t="shared" si="6"/>
        <v>Cliente XP</v>
      </c>
    </row>
    <row r="435" spans="1:20" x14ac:dyDescent="0.3">
      <c r="A435">
        <v>4364145</v>
      </c>
      <c r="B435" s="8" t="s">
        <v>1009</v>
      </c>
      <c r="C435" s="9" t="s">
        <v>21</v>
      </c>
      <c r="D435" s="8">
        <v>-5.38</v>
      </c>
      <c r="E435">
        <v>15000</v>
      </c>
      <c r="F435" t="s">
        <v>22</v>
      </c>
      <c r="G435" t="s">
        <v>23</v>
      </c>
      <c r="H435" s="10">
        <v>33442</v>
      </c>
      <c r="I435" s="10" t="s">
        <v>24</v>
      </c>
      <c r="K435" t="s">
        <v>42</v>
      </c>
      <c r="L435" t="s">
        <v>1010</v>
      </c>
      <c r="N435" s="11" t="str">
        <f>Base_CRM[[#This Row],[Cidade]]&amp;"/"&amp;Base_CRM[[#This Row],[Estado]]</f>
        <v>RIO DE JANEIRO/</v>
      </c>
      <c r="O435" s="12">
        <f>IFERROR(IF(Base_CRM[[#This Row],[PL Tailor]]&gt;Base_CRM[[#This Row],[PL Declarado]],1,Base_CRM[[#This Row],[PL Tailor]]/Base_CRM[[#This Row],[PL Declarado]]),0)</f>
        <v>-3.5866666666666664E-4</v>
      </c>
      <c r="P435" s="11" t="str">
        <f>IF(Base_CRM[[#This Row],[Estado Civil]]="","PESSOA JURÍDICA","PESSOA FÍSICA")</f>
        <v>PESSOA FÍSICA</v>
      </c>
      <c r="Q435" t="str">
        <f>_xlfn.XLOOKUP(Base_CRM[[#This Row],[Cód do Cliente]],'[1]F &amp; O'!$A:$A,'[1]F &amp; O'!$F:$F,_xlfn.XLOOKUP(Base_CRM[[#This Row],[Assessor]],[1]DePara!$A:$A,[1]DePara!$D:$D,"Outros",0,1),0,1)</f>
        <v>Leonardo Burle</v>
      </c>
      <c r="R435" s="11" t="str">
        <f>_xlfn.XLOOKUP(Base_CRM[[#This Row],[Cód do Cliente]],'[1]F &amp; O'!$A:$A,'[1]F &amp; O'!D:D,"Sem Finder",0,1)</f>
        <v>Sem Finder</v>
      </c>
      <c r="S435" s="11" t="str">
        <f>_xlfn.XLOOKUP(Base_CRM[[#This Row],[Cód do Cliente]],'[1]F &amp; O'!$A:$A,'[1]F &amp; O'!E:E,"Sem Canal",0,1)</f>
        <v>Sem Canal</v>
      </c>
      <c r="T435" s="11" t="str">
        <f t="shared" si="6"/>
        <v>Cliente XP</v>
      </c>
    </row>
    <row r="436" spans="1:20" x14ac:dyDescent="0.3">
      <c r="A436">
        <v>4366822</v>
      </c>
      <c r="B436" s="8" t="s">
        <v>1011</v>
      </c>
      <c r="C436" s="9" t="s">
        <v>39</v>
      </c>
      <c r="D436" s="8">
        <v>612.67999999999995</v>
      </c>
      <c r="E436">
        <v>30000</v>
      </c>
      <c r="F436" t="s">
        <v>22</v>
      </c>
      <c r="G436" t="s">
        <v>389</v>
      </c>
      <c r="H436" s="10">
        <v>23893</v>
      </c>
      <c r="I436" s="10" t="s">
        <v>31</v>
      </c>
      <c r="K436" t="s">
        <v>68</v>
      </c>
      <c r="L436" t="s">
        <v>1012</v>
      </c>
      <c r="N436" s="11" t="str">
        <f>Base_CRM[[#This Row],[Cidade]]&amp;"/"&amp;Base_CRM[[#This Row],[Estado]]</f>
        <v>SAO PAULO/</v>
      </c>
      <c r="O436" s="12">
        <f>IFERROR(IF(Base_CRM[[#This Row],[PL Tailor]]&gt;Base_CRM[[#This Row],[PL Declarado]],1,Base_CRM[[#This Row],[PL Tailor]]/Base_CRM[[#This Row],[PL Declarado]]),0)</f>
        <v>2.0422666666666665E-2</v>
      </c>
      <c r="P436" s="11" t="str">
        <f>IF(Base_CRM[[#This Row],[Estado Civil]]="","PESSOA JURÍDICA","PESSOA FÍSICA")</f>
        <v>PESSOA FÍSICA</v>
      </c>
      <c r="Q436" t="str">
        <f>_xlfn.XLOOKUP(Base_CRM[[#This Row],[Cód do Cliente]],'[1]F &amp; O'!$A:$A,'[1]F &amp; O'!$F:$F,_xlfn.XLOOKUP(Base_CRM[[#This Row],[Assessor]],[1]DePara!$A:$A,[1]DePara!$D:$D,"Outros",0,1),0,1)</f>
        <v>Gestora</v>
      </c>
      <c r="R436" s="11" t="str">
        <f>_xlfn.XLOOKUP(Base_CRM[[#This Row],[Cód do Cliente]],'[1]F &amp; O'!$A:$A,'[1]F &amp; O'!D:D,"Sem Finder",0,1)</f>
        <v>Pedro Chagas</v>
      </c>
      <c r="S436" s="11" t="str">
        <f>_xlfn.XLOOKUP(Base_CRM[[#This Row],[Cód do Cliente]],'[1]F &amp; O'!$A:$A,'[1]F &amp; O'!E:E,"Sem Canal",0,1)</f>
        <v>Gestora</v>
      </c>
      <c r="T436" s="11" t="str">
        <f t="shared" si="6"/>
        <v>Cliente XP</v>
      </c>
    </row>
    <row r="437" spans="1:20" x14ac:dyDescent="0.3">
      <c r="A437">
        <v>4382509</v>
      </c>
      <c r="B437" s="8" t="s">
        <v>1013</v>
      </c>
      <c r="C437" s="9" t="s">
        <v>39</v>
      </c>
      <c r="D437" s="8">
        <v>697047.49</v>
      </c>
      <c r="E437">
        <v>500000</v>
      </c>
      <c r="F437" t="s">
        <v>22</v>
      </c>
      <c r="G437" t="s">
        <v>87</v>
      </c>
      <c r="H437" s="10">
        <v>20399</v>
      </c>
      <c r="I437" s="10" t="s">
        <v>184</v>
      </c>
      <c r="K437" t="s">
        <v>42</v>
      </c>
      <c r="L437" t="s">
        <v>1014</v>
      </c>
      <c r="N437" s="11" t="str">
        <f>Base_CRM[[#This Row],[Cidade]]&amp;"/"&amp;Base_CRM[[#This Row],[Estado]]</f>
        <v>SAO CARLOS/</v>
      </c>
      <c r="O437" s="12">
        <f>IFERROR(IF(Base_CRM[[#This Row],[PL Tailor]]&gt;Base_CRM[[#This Row],[PL Declarado]],1,Base_CRM[[#This Row],[PL Tailor]]/Base_CRM[[#This Row],[PL Declarado]]),0)</f>
        <v>1</v>
      </c>
      <c r="P437" s="11" t="str">
        <f>IF(Base_CRM[[#This Row],[Estado Civil]]="","PESSOA JURÍDICA","PESSOA FÍSICA")</f>
        <v>PESSOA FÍSICA</v>
      </c>
      <c r="Q437" t="str">
        <f>_xlfn.XLOOKUP(Base_CRM[[#This Row],[Cód do Cliente]],'[1]F &amp; O'!$A:$A,'[1]F &amp; O'!$F:$F,_xlfn.XLOOKUP(Base_CRM[[#This Row],[Assessor]],[1]DePara!$A:$A,[1]DePara!$D:$D,"Outros",0,1),0,1)</f>
        <v>Gestora</v>
      </c>
      <c r="R437" s="11" t="str">
        <f>_xlfn.XLOOKUP(Base_CRM[[#This Row],[Cód do Cliente]],'[1]F &amp; O'!$A:$A,'[1]F &amp; O'!D:D,"Sem Finder",0,1)</f>
        <v>Sem Finder</v>
      </c>
      <c r="S437" s="11" t="str">
        <f>_xlfn.XLOOKUP(Base_CRM[[#This Row],[Cód do Cliente]],'[1]F &amp; O'!$A:$A,'[1]F &amp; O'!E:E,"Sem Canal",0,1)</f>
        <v>Gestora</v>
      </c>
      <c r="T437" s="11" t="str">
        <f t="shared" si="6"/>
        <v>Cliente XP</v>
      </c>
    </row>
    <row r="438" spans="1:20" x14ac:dyDescent="0.3">
      <c r="A438">
        <v>4388499</v>
      </c>
      <c r="B438" s="8" t="s">
        <v>1015</v>
      </c>
      <c r="C438" s="9" t="s">
        <v>48</v>
      </c>
      <c r="D438" s="8">
        <v>1566976.19</v>
      </c>
      <c r="E438">
        <v>2000000</v>
      </c>
      <c r="F438" t="s">
        <v>22</v>
      </c>
      <c r="G438" t="s">
        <v>67</v>
      </c>
      <c r="H438" s="10">
        <v>29457</v>
      </c>
      <c r="I438" s="10" t="s">
        <v>31</v>
      </c>
      <c r="K438" t="s">
        <v>25</v>
      </c>
      <c r="L438" t="s">
        <v>1016</v>
      </c>
      <c r="M438" t="s">
        <v>64</v>
      </c>
      <c r="N438" s="11" t="str">
        <f>Base_CRM[[#This Row],[Cidade]]&amp;"/"&amp;Base_CRM[[#This Row],[Estado]]</f>
        <v>SAO PAULO/</v>
      </c>
      <c r="O438" s="12">
        <f>IFERROR(IF(Base_CRM[[#This Row],[PL Tailor]]&gt;Base_CRM[[#This Row],[PL Declarado]],1,Base_CRM[[#This Row],[PL Tailor]]/Base_CRM[[#This Row],[PL Declarado]]),0)</f>
        <v>0.78348809499999994</v>
      </c>
      <c r="P438" s="11" t="str">
        <f>IF(Base_CRM[[#This Row],[Estado Civil]]="","PESSOA JURÍDICA","PESSOA FÍSICA")</f>
        <v>PESSOA FÍSICA</v>
      </c>
      <c r="Q438" t="str">
        <f>_xlfn.XLOOKUP(Base_CRM[[#This Row],[Cód do Cliente]],'[1]F &amp; O'!$A:$A,'[1]F &amp; O'!$F:$F,_xlfn.XLOOKUP(Base_CRM[[#This Row],[Assessor]],[1]DePara!$A:$A,[1]DePara!$D:$D,"Outros",0,1),0,1)</f>
        <v>Raphael Farias</v>
      </c>
      <c r="R438" s="11" t="str">
        <f>_xlfn.XLOOKUP(Base_CRM[[#This Row],[Cód do Cliente]],'[1]F &amp; O'!$A:$A,'[1]F &amp; O'!D:D,"Sem Finder",0,1)</f>
        <v>Sem Finder</v>
      </c>
      <c r="S438" s="11" t="str">
        <f>_xlfn.XLOOKUP(Base_CRM[[#This Row],[Cód do Cliente]],'[1]F &amp; O'!$A:$A,'[1]F &amp; O'!E:E,"Sem Canal",0,1)</f>
        <v>Sem Canal</v>
      </c>
      <c r="T438" s="11" t="str">
        <f t="shared" si="6"/>
        <v>Cliente XP</v>
      </c>
    </row>
    <row r="439" spans="1:20" x14ac:dyDescent="0.3">
      <c r="A439">
        <v>4406160</v>
      </c>
      <c r="B439" s="8" t="s">
        <v>772</v>
      </c>
      <c r="C439" s="9" t="s">
        <v>74</v>
      </c>
      <c r="D439" s="8">
        <v>0</v>
      </c>
      <c r="E439">
        <v>110000</v>
      </c>
      <c r="F439" t="s">
        <v>22</v>
      </c>
      <c r="G439" t="s">
        <v>87</v>
      </c>
      <c r="H439" s="10">
        <v>27235</v>
      </c>
      <c r="I439" s="10" t="s">
        <v>349</v>
      </c>
      <c r="K439" t="s">
        <v>68</v>
      </c>
      <c r="L439" t="s">
        <v>773</v>
      </c>
      <c r="M439" t="s">
        <v>64</v>
      </c>
      <c r="N439" s="11" t="str">
        <f>Base_CRM[[#This Row],[Cidade]]&amp;"/"&amp;Base_CRM[[#This Row],[Estado]]</f>
        <v>São Paulo/</v>
      </c>
      <c r="O439" s="12">
        <f>IFERROR(IF(Base_CRM[[#This Row],[PL Tailor]]&gt;Base_CRM[[#This Row],[PL Declarado]],1,Base_CRM[[#This Row],[PL Tailor]]/Base_CRM[[#This Row],[PL Declarado]]),0)</f>
        <v>0</v>
      </c>
      <c r="P439" s="11" t="str">
        <f>IF(Base_CRM[[#This Row],[Estado Civil]]="","PESSOA JURÍDICA","PESSOA FÍSICA")</f>
        <v>PESSOA FÍSICA</v>
      </c>
      <c r="Q439" t="str">
        <f>_xlfn.XLOOKUP(Base_CRM[[#This Row],[Cód do Cliente]],'[1]F &amp; O'!$A:$A,'[1]F &amp; O'!$F:$F,_xlfn.XLOOKUP(Base_CRM[[#This Row],[Assessor]],[1]DePara!$A:$A,[1]DePara!$D:$D,"Outros",0,1),0,1)</f>
        <v>Thayane Freitas</v>
      </c>
      <c r="R439" s="11" t="str">
        <f>_xlfn.XLOOKUP(Base_CRM[[#This Row],[Cód do Cliente]],'[1]F &amp; O'!$A:$A,'[1]F &amp; O'!D:D,"Sem Finder",0,1)</f>
        <v>Sem Finder</v>
      </c>
      <c r="S439" s="11" t="str">
        <f>_xlfn.XLOOKUP(Base_CRM[[#This Row],[Cód do Cliente]],'[1]F &amp; O'!$A:$A,'[1]F &amp; O'!E:E,"Sem Canal",0,1)</f>
        <v>Sem Canal</v>
      </c>
      <c r="T439" s="11" t="str">
        <f t="shared" si="6"/>
        <v>Cliente XP</v>
      </c>
    </row>
    <row r="440" spans="1:20" x14ac:dyDescent="0.3">
      <c r="A440">
        <v>4412593</v>
      </c>
      <c r="B440" s="8" t="s">
        <v>1017</v>
      </c>
      <c r="C440" s="9" t="s">
        <v>21</v>
      </c>
      <c r="D440" s="8">
        <v>1073197.1200000001</v>
      </c>
      <c r="E440">
        <v>1000000</v>
      </c>
      <c r="F440" t="s">
        <v>22</v>
      </c>
      <c r="G440" t="s">
        <v>35</v>
      </c>
      <c r="H440" s="10">
        <v>31495</v>
      </c>
      <c r="I440" s="10" t="s">
        <v>62</v>
      </c>
      <c r="K440" t="s">
        <v>25</v>
      </c>
      <c r="L440" t="s">
        <v>1018</v>
      </c>
      <c r="M440" t="s">
        <v>64</v>
      </c>
      <c r="N440" s="11" t="str">
        <f>Base_CRM[[#This Row],[Cidade]]&amp;"/"&amp;Base_CRM[[#This Row],[Estado]]</f>
        <v>Rio de Janeiro/</v>
      </c>
      <c r="O440" s="12">
        <f>IFERROR(IF(Base_CRM[[#This Row],[PL Tailor]]&gt;Base_CRM[[#This Row],[PL Declarado]],1,Base_CRM[[#This Row],[PL Tailor]]/Base_CRM[[#This Row],[PL Declarado]]),0)</f>
        <v>1</v>
      </c>
      <c r="P440" s="11" t="str">
        <f>IF(Base_CRM[[#This Row],[Estado Civil]]="","PESSOA JURÍDICA","PESSOA FÍSICA")</f>
        <v>PESSOA FÍSICA</v>
      </c>
      <c r="Q440" t="str">
        <f>_xlfn.XLOOKUP(Base_CRM[[#This Row],[Cód do Cliente]],'[1]F &amp; O'!$A:$A,'[1]F &amp; O'!$F:$F,_xlfn.XLOOKUP(Base_CRM[[#This Row],[Assessor]],[1]DePara!$A:$A,[1]DePara!$D:$D,"Outros",0,1),0,1)</f>
        <v>Leonardo Burle</v>
      </c>
      <c r="R440" s="11" t="str">
        <f>_xlfn.XLOOKUP(Base_CRM[[#This Row],[Cód do Cliente]],'[1]F &amp; O'!$A:$A,'[1]F &amp; O'!D:D,"Sem Finder",0,1)</f>
        <v>Sem Finder</v>
      </c>
      <c r="S440" s="11" t="str">
        <f>_xlfn.XLOOKUP(Base_CRM[[#This Row],[Cód do Cliente]],'[1]F &amp; O'!$A:$A,'[1]F &amp; O'!E:E,"Sem Canal",0,1)</f>
        <v>Sem Canal</v>
      </c>
      <c r="T440" s="11" t="str">
        <f t="shared" si="6"/>
        <v>Cliente XP</v>
      </c>
    </row>
    <row r="441" spans="1:20" x14ac:dyDescent="0.3">
      <c r="A441">
        <v>4432740</v>
      </c>
      <c r="B441" s="8" t="s">
        <v>1019</v>
      </c>
      <c r="C441" s="9" t="s">
        <v>34</v>
      </c>
      <c r="D441" s="8">
        <v>419522.97</v>
      </c>
      <c r="E441">
        <v>145000</v>
      </c>
      <c r="F441" t="s">
        <v>92</v>
      </c>
      <c r="G441" t="s">
        <v>751</v>
      </c>
      <c r="H441" s="10">
        <v>29130</v>
      </c>
      <c r="I441" s="10" t="s">
        <v>31</v>
      </c>
      <c r="K441" t="s">
        <v>25</v>
      </c>
      <c r="L441" t="s">
        <v>1020</v>
      </c>
      <c r="N441" s="11" t="str">
        <f>Base_CRM[[#This Row],[Cidade]]&amp;"/"&amp;Base_CRM[[#This Row],[Estado]]</f>
        <v>SAO PAULO/</v>
      </c>
      <c r="O441" s="12">
        <f>IFERROR(IF(Base_CRM[[#This Row],[PL Tailor]]&gt;Base_CRM[[#This Row],[PL Declarado]],1,Base_CRM[[#This Row],[PL Tailor]]/Base_CRM[[#This Row],[PL Declarado]]),0)</f>
        <v>1</v>
      </c>
      <c r="P441" s="11" t="str">
        <f>IF(Base_CRM[[#This Row],[Estado Civil]]="","PESSOA JURÍDICA","PESSOA FÍSICA")</f>
        <v>PESSOA FÍSICA</v>
      </c>
      <c r="Q441" t="str">
        <f>_xlfn.XLOOKUP(Base_CRM[[#This Row],[Cód do Cliente]],'[1]F &amp; O'!$A:$A,'[1]F &amp; O'!$F:$F,_xlfn.XLOOKUP(Base_CRM[[#This Row],[Assessor]],[1]DePara!$A:$A,[1]DePara!$D:$D,"Outros",0,1),0,1)</f>
        <v>Adonias Noronha</v>
      </c>
      <c r="R441" s="11" t="str">
        <f>_xlfn.XLOOKUP(Base_CRM[[#This Row],[Cód do Cliente]],'[1]F &amp; O'!$A:$A,'[1]F &amp; O'!D:D,"Sem Finder",0,1)</f>
        <v>Sem Finder</v>
      </c>
      <c r="S441" s="11" t="str">
        <f>_xlfn.XLOOKUP(Base_CRM[[#This Row],[Cód do Cliente]],'[1]F &amp; O'!$A:$A,'[1]F &amp; O'!E:E,"Sem Canal",0,1)</f>
        <v>Sem Canal</v>
      </c>
      <c r="T441" s="11" t="str">
        <f t="shared" si="6"/>
        <v>Cliente XP</v>
      </c>
    </row>
    <row r="442" spans="1:20" x14ac:dyDescent="0.3">
      <c r="A442">
        <v>4445830</v>
      </c>
      <c r="B442" s="8" t="s">
        <v>1021</v>
      </c>
      <c r="C442" s="9" t="s">
        <v>74</v>
      </c>
      <c r="D442" s="8">
        <v>270818.68</v>
      </c>
      <c r="E442">
        <v>205000</v>
      </c>
      <c r="F442" t="s">
        <v>22</v>
      </c>
      <c r="G442" t="s">
        <v>35</v>
      </c>
      <c r="H442" s="10">
        <v>35871</v>
      </c>
      <c r="I442" s="10" t="s">
        <v>1022</v>
      </c>
      <c r="K442" t="s">
        <v>25</v>
      </c>
      <c r="L442" t="s">
        <v>1023</v>
      </c>
      <c r="N442" s="11" t="str">
        <f>Base_CRM[[#This Row],[Cidade]]&amp;"/"&amp;Base_CRM[[#This Row],[Estado]]</f>
        <v>PELOTAS/</v>
      </c>
      <c r="O442" s="12">
        <f>IFERROR(IF(Base_CRM[[#This Row],[PL Tailor]]&gt;Base_CRM[[#This Row],[PL Declarado]],1,Base_CRM[[#This Row],[PL Tailor]]/Base_CRM[[#This Row],[PL Declarado]]),0)</f>
        <v>1</v>
      </c>
      <c r="P442" s="11" t="str">
        <f>IF(Base_CRM[[#This Row],[Estado Civil]]="","PESSOA JURÍDICA","PESSOA FÍSICA")</f>
        <v>PESSOA FÍSICA</v>
      </c>
      <c r="Q442" t="str">
        <f>_xlfn.XLOOKUP(Base_CRM[[#This Row],[Cód do Cliente]],'[1]F &amp; O'!$A:$A,'[1]F &amp; O'!$F:$F,_xlfn.XLOOKUP(Base_CRM[[#This Row],[Assessor]],[1]DePara!$A:$A,[1]DePara!$D:$D,"Outros",0,1),0,1)</f>
        <v>Thayane Freitas</v>
      </c>
      <c r="R442" s="11" t="str">
        <f>_xlfn.XLOOKUP(Base_CRM[[#This Row],[Cód do Cliente]],'[1]F &amp; O'!$A:$A,'[1]F &amp; O'!D:D,"Sem Finder",0,1)</f>
        <v>Sem Finder</v>
      </c>
      <c r="S442" s="11" t="str">
        <f>_xlfn.XLOOKUP(Base_CRM[[#This Row],[Cód do Cliente]],'[1]F &amp; O'!$A:$A,'[1]F &amp; O'!E:E,"Sem Canal",0,1)</f>
        <v>Sem Canal</v>
      </c>
      <c r="T442" s="11" t="str">
        <f t="shared" si="6"/>
        <v>Cliente XP</v>
      </c>
    </row>
    <row r="443" spans="1:20" x14ac:dyDescent="0.3">
      <c r="A443">
        <v>4448774</v>
      </c>
      <c r="B443" s="8" t="s">
        <v>1024</v>
      </c>
      <c r="C443" s="9" t="s">
        <v>21</v>
      </c>
      <c r="D443" s="8">
        <v>1940384.68</v>
      </c>
      <c r="E443">
        <v>1000000</v>
      </c>
      <c r="F443" t="s">
        <v>22</v>
      </c>
      <c r="G443" t="s">
        <v>71</v>
      </c>
      <c r="H443" s="10">
        <v>21335</v>
      </c>
      <c r="I443" s="10" t="s">
        <v>1022</v>
      </c>
      <c r="K443" t="s">
        <v>25</v>
      </c>
      <c r="L443" t="s">
        <v>1025</v>
      </c>
      <c r="M443" t="s">
        <v>64</v>
      </c>
      <c r="N443" s="11" t="str">
        <f>Base_CRM[[#This Row],[Cidade]]&amp;"/"&amp;Base_CRM[[#This Row],[Estado]]</f>
        <v>PELOTAS/</v>
      </c>
      <c r="O443" s="12">
        <f>IFERROR(IF(Base_CRM[[#This Row],[PL Tailor]]&gt;Base_CRM[[#This Row],[PL Declarado]],1,Base_CRM[[#This Row],[PL Tailor]]/Base_CRM[[#This Row],[PL Declarado]]),0)</f>
        <v>1</v>
      </c>
      <c r="P443" s="11" t="str">
        <f>IF(Base_CRM[[#This Row],[Estado Civil]]="","PESSOA JURÍDICA","PESSOA FÍSICA")</f>
        <v>PESSOA FÍSICA</v>
      </c>
      <c r="Q443" t="str">
        <f>_xlfn.XLOOKUP(Base_CRM[[#This Row],[Cód do Cliente]],'[1]F &amp; O'!$A:$A,'[1]F &amp; O'!$F:$F,_xlfn.XLOOKUP(Base_CRM[[#This Row],[Assessor]],[1]DePara!$A:$A,[1]DePara!$D:$D,"Outros",0,1),0,1)</f>
        <v>Leonardo Burle</v>
      </c>
      <c r="R443" s="11" t="str">
        <f>_xlfn.XLOOKUP(Base_CRM[[#This Row],[Cód do Cliente]],'[1]F &amp; O'!$A:$A,'[1]F &amp; O'!D:D,"Sem Finder",0,1)</f>
        <v>Sem Finder</v>
      </c>
      <c r="S443" s="11" t="str">
        <f>_xlfn.XLOOKUP(Base_CRM[[#This Row],[Cód do Cliente]],'[1]F &amp; O'!$A:$A,'[1]F &amp; O'!E:E,"Sem Canal",0,1)</f>
        <v>Sem Canal</v>
      </c>
      <c r="T443" s="11" t="str">
        <f t="shared" si="6"/>
        <v>Cliente XP</v>
      </c>
    </row>
    <row r="444" spans="1:20" x14ac:dyDescent="0.3">
      <c r="A444">
        <v>4448816</v>
      </c>
      <c r="B444" s="8" t="s">
        <v>1026</v>
      </c>
      <c r="C444" s="9" t="s">
        <v>74</v>
      </c>
      <c r="D444" s="8">
        <v>0</v>
      </c>
      <c r="E444">
        <v>5600</v>
      </c>
      <c r="F444" t="s">
        <v>29</v>
      </c>
      <c r="G444" t="s">
        <v>87</v>
      </c>
      <c r="H444" s="10">
        <v>30461</v>
      </c>
      <c r="I444" s="10" t="s">
        <v>31</v>
      </c>
      <c r="K444" t="s">
        <v>42</v>
      </c>
      <c r="L444" t="s">
        <v>1027</v>
      </c>
      <c r="N444" s="11" t="str">
        <f>Base_CRM[[#This Row],[Cidade]]&amp;"/"&amp;Base_CRM[[#This Row],[Estado]]</f>
        <v>SAO PAULO/</v>
      </c>
      <c r="O444" s="12">
        <f>IFERROR(IF(Base_CRM[[#This Row],[PL Tailor]]&gt;Base_CRM[[#This Row],[PL Declarado]],1,Base_CRM[[#This Row],[PL Tailor]]/Base_CRM[[#This Row],[PL Declarado]]),0)</f>
        <v>0</v>
      </c>
      <c r="P444" s="11" t="str">
        <f>IF(Base_CRM[[#This Row],[Estado Civil]]="","PESSOA JURÍDICA","PESSOA FÍSICA")</f>
        <v>PESSOA FÍSICA</v>
      </c>
      <c r="Q444" t="str">
        <f>_xlfn.XLOOKUP(Base_CRM[[#This Row],[Cód do Cliente]],'[1]F &amp; O'!$A:$A,'[1]F &amp; O'!$F:$F,_xlfn.XLOOKUP(Base_CRM[[#This Row],[Assessor]],[1]DePara!$A:$A,[1]DePara!$D:$D,"Outros",0,1),0,1)</f>
        <v>Thayane Freitas</v>
      </c>
      <c r="R444" s="11" t="str">
        <f>_xlfn.XLOOKUP(Base_CRM[[#This Row],[Cód do Cliente]],'[1]F &amp; O'!$A:$A,'[1]F &amp; O'!D:D,"Sem Finder",0,1)</f>
        <v>Sem Finder</v>
      </c>
      <c r="S444" s="11" t="str">
        <f>_xlfn.XLOOKUP(Base_CRM[[#This Row],[Cód do Cliente]],'[1]F &amp; O'!$A:$A,'[1]F &amp; O'!E:E,"Sem Canal",0,1)</f>
        <v>Sem Canal</v>
      </c>
      <c r="T444" s="11" t="str">
        <f t="shared" si="6"/>
        <v>Cliente XP</v>
      </c>
    </row>
    <row r="445" spans="1:20" x14ac:dyDescent="0.3">
      <c r="A445">
        <v>4453171</v>
      </c>
      <c r="B445" s="8" t="s">
        <v>1028</v>
      </c>
      <c r="C445" s="9" t="s">
        <v>74</v>
      </c>
      <c r="D445" s="8">
        <v>4850.68</v>
      </c>
      <c r="E445">
        <v>1000</v>
      </c>
      <c r="F445" t="s">
        <v>92</v>
      </c>
      <c r="G445" t="s">
        <v>1029</v>
      </c>
      <c r="H445" s="10">
        <v>36078</v>
      </c>
      <c r="I445" s="10" t="s">
        <v>1030</v>
      </c>
      <c r="K445" t="s">
        <v>25</v>
      </c>
      <c r="L445" t="s">
        <v>1031</v>
      </c>
      <c r="N445" s="11" t="str">
        <f>Base_CRM[[#This Row],[Cidade]]&amp;"/"&amp;Base_CRM[[#This Row],[Estado]]</f>
        <v>MURIAE/</v>
      </c>
      <c r="O445" s="12">
        <f>IFERROR(IF(Base_CRM[[#This Row],[PL Tailor]]&gt;Base_CRM[[#This Row],[PL Declarado]],1,Base_CRM[[#This Row],[PL Tailor]]/Base_CRM[[#This Row],[PL Declarado]]),0)</f>
        <v>1</v>
      </c>
      <c r="P445" s="11" t="str">
        <f>IF(Base_CRM[[#This Row],[Estado Civil]]="","PESSOA JURÍDICA","PESSOA FÍSICA")</f>
        <v>PESSOA FÍSICA</v>
      </c>
      <c r="Q445" t="str">
        <f>_xlfn.XLOOKUP(Base_CRM[[#This Row],[Cód do Cliente]],'[1]F &amp; O'!$A:$A,'[1]F &amp; O'!$F:$F,_xlfn.XLOOKUP(Base_CRM[[#This Row],[Assessor]],[1]DePara!$A:$A,[1]DePara!$D:$D,"Outros",0,1),0,1)</f>
        <v>Thayane Freitas</v>
      </c>
      <c r="R445" s="11" t="str">
        <f>_xlfn.XLOOKUP(Base_CRM[[#This Row],[Cód do Cliente]],'[1]F &amp; O'!$A:$A,'[1]F &amp; O'!D:D,"Sem Finder",0,1)</f>
        <v>Sem Finder</v>
      </c>
      <c r="S445" s="11" t="str">
        <f>_xlfn.XLOOKUP(Base_CRM[[#This Row],[Cód do Cliente]],'[1]F &amp; O'!$A:$A,'[1]F &amp; O'!E:E,"Sem Canal",0,1)</f>
        <v>Sem Canal</v>
      </c>
      <c r="T445" s="11" t="str">
        <f t="shared" si="6"/>
        <v>Cliente XP</v>
      </c>
    </row>
    <row r="446" spans="1:20" x14ac:dyDescent="0.3">
      <c r="A446">
        <v>4467610</v>
      </c>
      <c r="B446" s="8" t="s">
        <v>1032</v>
      </c>
      <c r="C446" s="9" t="s">
        <v>48</v>
      </c>
      <c r="D446" s="8">
        <v>2133.83</v>
      </c>
      <c r="E446">
        <v>1000</v>
      </c>
      <c r="F446" t="s">
        <v>29</v>
      </c>
      <c r="G446" t="s">
        <v>87</v>
      </c>
      <c r="H446" s="10">
        <v>36966</v>
      </c>
      <c r="I446" s="10" t="s">
        <v>142</v>
      </c>
      <c r="K446" t="s">
        <v>25</v>
      </c>
      <c r="L446" t="s">
        <v>1033</v>
      </c>
      <c r="N446" s="11" t="str">
        <f>Base_CRM[[#This Row],[Cidade]]&amp;"/"&amp;Base_CRM[[#This Row],[Estado]]</f>
        <v>SAO JOSE DOS CAMPOS/</v>
      </c>
      <c r="O446" s="12">
        <f>IFERROR(IF(Base_CRM[[#This Row],[PL Tailor]]&gt;Base_CRM[[#This Row],[PL Declarado]],1,Base_CRM[[#This Row],[PL Tailor]]/Base_CRM[[#This Row],[PL Declarado]]),0)</f>
        <v>1</v>
      </c>
      <c r="P446" s="11" t="str">
        <f>IF(Base_CRM[[#This Row],[Estado Civil]]="","PESSOA JURÍDICA","PESSOA FÍSICA")</f>
        <v>PESSOA FÍSICA</v>
      </c>
      <c r="Q446" t="str">
        <f>_xlfn.XLOOKUP(Base_CRM[[#This Row],[Cód do Cliente]],'[1]F &amp; O'!$A:$A,'[1]F &amp; O'!$F:$F,_xlfn.XLOOKUP(Base_CRM[[#This Row],[Assessor]],[1]DePara!$A:$A,[1]DePara!$D:$D,"Outros",0,1),0,1)</f>
        <v>Raphael Farias</v>
      </c>
      <c r="R446" s="11" t="str">
        <f>_xlfn.XLOOKUP(Base_CRM[[#This Row],[Cód do Cliente]],'[1]F &amp; O'!$A:$A,'[1]F &amp; O'!D:D,"Sem Finder",0,1)</f>
        <v>Pedro Chagas</v>
      </c>
      <c r="S446" s="11" t="str">
        <f>_xlfn.XLOOKUP(Base_CRM[[#This Row],[Cód do Cliente]],'[1]F &amp; O'!$A:$A,'[1]F &amp; O'!E:E,"Sem Canal",0,1)</f>
        <v>Sem Canal</v>
      </c>
      <c r="T446" s="11" t="str">
        <f t="shared" si="6"/>
        <v>Cliente XP</v>
      </c>
    </row>
    <row r="447" spans="1:20" x14ac:dyDescent="0.3">
      <c r="A447">
        <v>4474923</v>
      </c>
      <c r="B447" s="8" t="s">
        <v>1034</v>
      </c>
      <c r="C447" s="9" t="s">
        <v>74</v>
      </c>
      <c r="D447" s="8">
        <v>20076.46</v>
      </c>
      <c r="E447">
        <v>7770</v>
      </c>
      <c r="F447" t="s">
        <v>92</v>
      </c>
      <c r="G447" t="s">
        <v>181</v>
      </c>
      <c r="H447" s="10">
        <v>32674</v>
      </c>
      <c r="I447" s="10" t="s">
        <v>24</v>
      </c>
      <c r="K447" t="s">
        <v>25</v>
      </c>
      <c r="L447" t="s">
        <v>1035</v>
      </c>
      <c r="N447" s="11" t="str">
        <f>Base_CRM[[#This Row],[Cidade]]&amp;"/"&amp;Base_CRM[[#This Row],[Estado]]</f>
        <v>RIO DE JANEIRO/</v>
      </c>
      <c r="O447" s="12">
        <f>IFERROR(IF(Base_CRM[[#This Row],[PL Tailor]]&gt;Base_CRM[[#This Row],[PL Declarado]],1,Base_CRM[[#This Row],[PL Tailor]]/Base_CRM[[#This Row],[PL Declarado]]),0)</f>
        <v>1</v>
      </c>
      <c r="P447" s="11" t="str">
        <f>IF(Base_CRM[[#This Row],[Estado Civil]]="","PESSOA JURÍDICA","PESSOA FÍSICA")</f>
        <v>PESSOA FÍSICA</v>
      </c>
      <c r="Q447" t="str">
        <f>_xlfn.XLOOKUP(Base_CRM[[#This Row],[Cód do Cliente]],'[1]F &amp; O'!$A:$A,'[1]F &amp; O'!$F:$F,_xlfn.XLOOKUP(Base_CRM[[#This Row],[Assessor]],[1]DePara!$A:$A,[1]DePara!$D:$D,"Outros",0,1),0,1)</f>
        <v>Thayane Freitas</v>
      </c>
      <c r="R447" s="11" t="str">
        <f>_xlfn.XLOOKUP(Base_CRM[[#This Row],[Cód do Cliente]],'[1]F &amp; O'!$A:$A,'[1]F &amp; O'!D:D,"Sem Finder",0,1)</f>
        <v>Sem Finder</v>
      </c>
      <c r="S447" s="11" t="str">
        <f>_xlfn.XLOOKUP(Base_CRM[[#This Row],[Cód do Cliente]],'[1]F &amp; O'!$A:$A,'[1]F &amp; O'!E:E,"Sem Canal",0,1)</f>
        <v>Sem Canal</v>
      </c>
      <c r="T447" s="11" t="str">
        <f t="shared" si="6"/>
        <v>Cliente XP</v>
      </c>
    </row>
    <row r="448" spans="1:20" x14ac:dyDescent="0.3">
      <c r="A448">
        <v>4476431</v>
      </c>
      <c r="B448" s="8" t="s">
        <v>1036</v>
      </c>
      <c r="C448" s="9" t="s">
        <v>34</v>
      </c>
      <c r="D448" s="8">
        <v>1127185.42</v>
      </c>
      <c r="E448">
        <v>1400000</v>
      </c>
      <c r="F448" t="s">
        <v>22</v>
      </c>
      <c r="G448" t="s">
        <v>1037</v>
      </c>
      <c r="H448" s="10">
        <v>21249</v>
      </c>
      <c r="I448" s="10" t="s">
        <v>1038</v>
      </c>
      <c r="K448" t="s">
        <v>68</v>
      </c>
      <c r="L448" t="s">
        <v>1039</v>
      </c>
      <c r="N448" s="11" t="str">
        <f>Base_CRM[[#This Row],[Cidade]]&amp;"/"&amp;Base_CRM[[#This Row],[Estado]]</f>
        <v>JOAO PESSOA/</v>
      </c>
      <c r="O448" s="12">
        <f>IFERROR(IF(Base_CRM[[#This Row],[PL Tailor]]&gt;Base_CRM[[#This Row],[PL Declarado]],1,Base_CRM[[#This Row],[PL Tailor]]/Base_CRM[[#This Row],[PL Declarado]]),0)</f>
        <v>0.8051324428571428</v>
      </c>
      <c r="P448" s="11" t="str">
        <f>IF(Base_CRM[[#This Row],[Estado Civil]]="","PESSOA JURÍDICA","PESSOA FÍSICA")</f>
        <v>PESSOA FÍSICA</v>
      </c>
      <c r="Q448" t="str">
        <f>_xlfn.XLOOKUP(Base_CRM[[#This Row],[Cód do Cliente]],'[1]F &amp; O'!$A:$A,'[1]F &amp; O'!$F:$F,_xlfn.XLOOKUP(Base_CRM[[#This Row],[Assessor]],[1]DePara!$A:$A,[1]DePara!$D:$D,"Outros",0,1),0,1)</f>
        <v>Adonias Noronha</v>
      </c>
      <c r="R448" s="11" t="str">
        <f>_xlfn.XLOOKUP(Base_CRM[[#This Row],[Cód do Cliente]],'[1]F &amp; O'!$A:$A,'[1]F &amp; O'!D:D,"Sem Finder",0,1)</f>
        <v>Sem Finder</v>
      </c>
      <c r="S448" s="11" t="str">
        <f>_xlfn.XLOOKUP(Base_CRM[[#This Row],[Cód do Cliente]],'[1]F &amp; O'!$A:$A,'[1]F &amp; O'!E:E,"Sem Canal",0,1)</f>
        <v>Sem Canal</v>
      </c>
      <c r="T448" s="11" t="str">
        <f t="shared" si="6"/>
        <v>Cliente XP</v>
      </c>
    </row>
    <row r="449" spans="1:20" x14ac:dyDescent="0.3">
      <c r="A449">
        <v>4522317</v>
      </c>
      <c r="B449" s="8" t="s">
        <v>1040</v>
      </c>
      <c r="C449" s="9" t="s">
        <v>21</v>
      </c>
      <c r="D449" s="8">
        <v>798115.05</v>
      </c>
      <c r="E449">
        <v>800000</v>
      </c>
      <c r="F449" t="s">
        <v>29</v>
      </c>
      <c r="G449" t="s">
        <v>334</v>
      </c>
      <c r="H449" s="10">
        <v>22921</v>
      </c>
      <c r="I449" s="10" t="s">
        <v>62</v>
      </c>
      <c r="K449" t="s">
        <v>25</v>
      </c>
      <c r="L449" t="s">
        <v>1041</v>
      </c>
      <c r="N449" s="11" t="str">
        <f>Base_CRM[[#This Row],[Cidade]]&amp;"/"&amp;Base_CRM[[#This Row],[Estado]]</f>
        <v>Rio de Janeiro/</v>
      </c>
      <c r="O449" s="12">
        <f>IFERROR(IF(Base_CRM[[#This Row],[PL Tailor]]&gt;Base_CRM[[#This Row],[PL Declarado]],1,Base_CRM[[#This Row],[PL Tailor]]/Base_CRM[[#This Row],[PL Declarado]]),0)</f>
        <v>0.9976438125</v>
      </c>
      <c r="P449" s="11" t="str">
        <f>IF(Base_CRM[[#This Row],[Estado Civil]]="","PESSOA JURÍDICA","PESSOA FÍSICA")</f>
        <v>PESSOA FÍSICA</v>
      </c>
      <c r="Q449" t="str">
        <f>_xlfn.XLOOKUP(Base_CRM[[#This Row],[Cód do Cliente]],'[1]F &amp; O'!$A:$A,'[1]F &amp; O'!$F:$F,_xlfn.XLOOKUP(Base_CRM[[#This Row],[Assessor]],[1]DePara!$A:$A,[1]DePara!$D:$D,"Outros",0,1),0,1)</f>
        <v>Leonardo Burle</v>
      </c>
      <c r="R449" s="11" t="str">
        <f>_xlfn.XLOOKUP(Base_CRM[[#This Row],[Cód do Cliente]],'[1]F &amp; O'!$A:$A,'[1]F &amp; O'!D:D,"Sem Finder",0,1)</f>
        <v>Sem Finder</v>
      </c>
      <c r="S449" s="11" t="str">
        <f>_xlfn.XLOOKUP(Base_CRM[[#This Row],[Cód do Cliente]],'[1]F &amp; O'!$A:$A,'[1]F &amp; O'!E:E,"Sem Canal",0,1)</f>
        <v>Sem Canal</v>
      </c>
      <c r="T449" s="11" t="str">
        <f t="shared" si="6"/>
        <v>Cliente XP</v>
      </c>
    </row>
    <row r="450" spans="1:20" x14ac:dyDescent="0.3">
      <c r="A450">
        <v>452388</v>
      </c>
      <c r="B450" s="8" t="s">
        <v>1042</v>
      </c>
      <c r="C450" s="9" t="s">
        <v>74</v>
      </c>
      <c r="D450" s="8">
        <v>128905.26</v>
      </c>
      <c r="E450">
        <v>350000</v>
      </c>
      <c r="F450" t="s">
        <v>22</v>
      </c>
      <c r="G450" t="s">
        <v>207</v>
      </c>
      <c r="H450" s="10">
        <v>33626</v>
      </c>
      <c r="I450" s="10" t="s">
        <v>31</v>
      </c>
      <c r="K450" t="s">
        <v>25</v>
      </c>
      <c r="L450" t="s">
        <v>1043</v>
      </c>
      <c r="M450" t="s">
        <v>1044</v>
      </c>
      <c r="N450" s="11" t="str">
        <f>Base_CRM[[#This Row],[Cidade]]&amp;"/"&amp;Base_CRM[[#This Row],[Estado]]</f>
        <v>SAO PAULO/</v>
      </c>
      <c r="O450" s="12">
        <f>IFERROR(IF(Base_CRM[[#This Row],[PL Tailor]]&gt;Base_CRM[[#This Row],[PL Declarado]],1,Base_CRM[[#This Row],[PL Tailor]]/Base_CRM[[#This Row],[PL Declarado]]),0)</f>
        <v>0.36830074285714282</v>
      </c>
      <c r="P450" s="11" t="str">
        <f>IF(Base_CRM[[#This Row],[Estado Civil]]="","PESSOA JURÍDICA","PESSOA FÍSICA")</f>
        <v>PESSOA FÍSICA</v>
      </c>
      <c r="Q450" t="str">
        <f>_xlfn.XLOOKUP(Base_CRM[[#This Row],[Cód do Cliente]],'[1]F &amp; O'!$A:$A,'[1]F &amp; O'!$F:$F,_xlfn.XLOOKUP(Base_CRM[[#This Row],[Assessor]],[1]DePara!$A:$A,[1]DePara!$D:$D,"Outros",0,1),0,1)</f>
        <v>Thayane Freitas</v>
      </c>
      <c r="R450" s="11" t="str">
        <f>_xlfn.XLOOKUP(Base_CRM[[#This Row],[Cód do Cliente]],'[1]F &amp; O'!$A:$A,'[1]F &amp; O'!D:D,"Sem Finder",0,1)</f>
        <v>Sem Finder</v>
      </c>
      <c r="S450" s="11" t="str">
        <f>_xlfn.XLOOKUP(Base_CRM[[#This Row],[Cód do Cliente]],'[1]F &amp; O'!$A:$A,'[1]F &amp; O'!E:E,"Sem Canal",0,1)</f>
        <v>Sem Canal</v>
      </c>
      <c r="T450" s="11" t="str">
        <f t="shared" ref="T450:T513" si="7">"Cliente XP"</f>
        <v>Cliente XP</v>
      </c>
    </row>
    <row r="451" spans="1:20" x14ac:dyDescent="0.3">
      <c r="A451">
        <v>4532332</v>
      </c>
      <c r="B451" s="8" t="s">
        <v>1045</v>
      </c>
      <c r="C451" s="9" t="s">
        <v>34</v>
      </c>
      <c r="D451" s="8">
        <v>249697.25</v>
      </c>
      <c r="E451">
        <v>1700000</v>
      </c>
      <c r="F451" t="s">
        <v>22</v>
      </c>
      <c r="G451" t="s">
        <v>389</v>
      </c>
      <c r="H451" s="10">
        <v>30453</v>
      </c>
      <c r="I451" s="10" t="s">
        <v>31</v>
      </c>
      <c r="K451" t="s">
        <v>25</v>
      </c>
      <c r="L451" t="s">
        <v>1046</v>
      </c>
      <c r="N451" s="11" t="str">
        <f>Base_CRM[[#This Row],[Cidade]]&amp;"/"&amp;Base_CRM[[#This Row],[Estado]]</f>
        <v>SAO PAULO/</v>
      </c>
      <c r="O451" s="12">
        <f>IFERROR(IF(Base_CRM[[#This Row],[PL Tailor]]&gt;Base_CRM[[#This Row],[PL Declarado]],1,Base_CRM[[#This Row],[PL Tailor]]/Base_CRM[[#This Row],[PL Declarado]]),0)</f>
        <v>0.14688073529411766</v>
      </c>
      <c r="P451" s="11" t="str">
        <f>IF(Base_CRM[[#This Row],[Estado Civil]]="","PESSOA JURÍDICA","PESSOA FÍSICA")</f>
        <v>PESSOA FÍSICA</v>
      </c>
      <c r="Q451" t="str">
        <f>_xlfn.XLOOKUP(Base_CRM[[#This Row],[Cód do Cliente]],'[1]F &amp; O'!$A:$A,'[1]F &amp; O'!$F:$F,_xlfn.XLOOKUP(Base_CRM[[#This Row],[Assessor]],[1]DePara!$A:$A,[1]DePara!$D:$D,"Outros",0,1),0,1)</f>
        <v>Adonias Noronha</v>
      </c>
      <c r="R451" s="11" t="str">
        <f>_xlfn.XLOOKUP(Base_CRM[[#This Row],[Cód do Cliente]],'[1]F &amp; O'!$A:$A,'[1]F &amp; O'!D:D,"Sem Finder",0,1)</f>
        <v>Sem Finder</v>
      </c>
      <c r="S451" s="11" t="str">
        <f>_xlfn.XLOOKUP(Base_CRM[[#This Row],[Cód do Cliente]],'[1]F &amp; O'!$A:$A,'[1]F &amp; O'!E:E,"Sem Canal",0,1)</f>
        <v>Sem Canal</v>
      </c>
      <c r="T451" s="11" t="str">
        <f t="shared" si="7"/>
        <v>Cliente XP</v>
      </c>
    </row>
    <row r="452" spans="1:20" x14ac:dyDescent="0.3">
      <c r="A452">
        <v>4556702</v>
      </c>
      <c r="B452" s="8" t="s">
        <v>1047</v>
      </c>
      <c r="C452" s="9" t="s">
        <v>34</v>
      </c>
      <c r="D452" s="8">
        <v>136444.26</v>
      </c>
      <c r="E452">
        <v>60000</v>
      </c>
      <c r="F452" t="s">
        <v>29</v>
      </c>
      <c r="G452" t="s">
        <v>71</v>
      </c>
      <c r="H452" s="10">
        <v>22072</v>
      </c>
      <c r="I452" s="10" t="s">
        <v>24</v>
      </c>
      <c r="K452" t="s">
        <v>42</v>
      </c>
      <c r="L452" t="s">
        <v>1048</v>
      </c>
      <c r="M452" t="s">
        <v>77</v>
      </c>
      <c r="N452" s="11" t="str">
        <f>Base_CRM[[#This Row],[Cidade]]&amp;"/"&amp;Base_CRM[[#This Row],[Estado]]</f>
        <v>RIO DE JANEIRO/</v>
      </c>
      <c r="O452" s="12">
        <f>IFERROR(IF(Base_CRM[[#This Row],[PL Tailor]]&gt;Base_CRM[[#This Row],[PL Declarado]],1,Base_CRM[[#This Row],[PL Tailor]]/Base_CRM[[#This Row],[PL Declarado]]),0)</f>
        <v>1</v>
      </c>
      <c r="P452" s="11" t="str">
        <f>IF(Base_CRM[[#This Row],[Estado Civil]]="","PESSOA JURÍDICA","PESSOA FÍSICA")</f>
        <v>PESSOA FÍSICA</v>
      </c>
      <c r="Q452" t="str">
        <f>_xlfn.XLOOKUP(Base_CRM[[#This Row],[Cód do Cliente]],'[1]F &amp; O'!$A:$A,'[1]F &amp; O'!$F:$F,_xlfn.XLOOKUP(Base_CRM[[#This Row],[Assessor]],[1]DePara!$A:$A,[1]DePara!$D:$D,"Outros",0,1),0,1)</f>
        <v>Adonias Noronha</v>
      </c>
      <c r="R452" s="11" t="str">
        <f>_xlfn.XLOOKUP(Base_CRM[[#This Row],[Cód do Cliente]],'[1]F &amp; O'!$A:$A,'[1]F &amp; O'!D:D,"Sem Finder",0,1)</f>
        <v>Sem Finder</v>
      </c>
      <c r="S452" s="11" t="str">
        <f>_xlfn.XLOOKUP(Base_CRM[[#This Row],[Cód do Cliente]],'[1]F &amp; O'!$A:$A,'[1]F &amp; O'!E:E,"Sem Canal",0,1)</f>
        <v>Sem Canal</v>
      </c>
      <c r="T452" s="11" t="str">
        <f t="shared" si="7"/>
        <v>Cliente XP</v>
      </c>
    </row>
    <row r="453" spans="1:20" x14ac:dyDescent="0.3">
      <c r="A453">
        <v>4568109</v>
      </c>
      <c r="B453" s="8" t="s">
        <v>1049</v>
      </c>
      <c r="C453" s="9" t="s">
        <v>74</v>
      </c>
      <c r="D453" s="8">
        <v>15870.69</v>
      </c>
      <c r="E453">
        <v>1</v>
      </c>
      <c r="F453" t="s">
        <v>29</v>
      </c>
      <c r="G453" t="s">
        <v>67</v>
      </c>
      <c r="H453" s="10">
        <v>30049</v>
      </c>
      <c r="I453" s="10" t="s">
        <v>1050</v>
      </c>
      <c r="K453" t="s">
        <v>88</v>
      </c>
      <c r="L453" t="s">
        <v>1051</v>
      </c>
      <c r="N453" s="11" t="str">
        <f>Base_CRM[[#This Row],[Cidade]]&amp;"/"&amp;Base_CRM[[#This Row],[Estado]]</f>
        <v>VILA VELHA/</v>
      </c>
      <c r="O453" s="12">
        <f>IFERROR(IF(Base_CRM[[#This Row],[PL Tailor]]&gt;Base_CRM[[#This Row],[PL Declarado]],1,Base_CRM[[#This Row],[PL Tailor]]/Base_CRM[[#This Row],[PL Declarado]]),0)</f>
        <v>1</v>
      </c>
      <c r="P453" s="11" t="str">
        <f>IF(Base_CRM[[#This Row],[Estado Civil]]="","PESSOA JURÍDICA","PESSOA FÍSICA")</f>
        <v>PESSOA FÍSICA</v>
      </c>
      <c r="Q453" t="str">
        <f>_xlfn.XLOOKUP(Base_CRM[[#This Row],[Cód do Cliente]],'[1]F &amp; O'!$A:$A,'[1]F &amp; O'!$F:$F,_xlfn.XLOOKUP(Base_CRM[[#This Row],[Assessor]],[1]DePara!$A:$A,[1]DePara!$D:$D,"Outros",0,1),0,1)</f>
        <v>Thayane Freitas</v>
      </c>
      <c r="R453" s="11" t="str">
        <f>_xlfn.XLOOKUP(Base_CRM[[#This Row],[Cód do Cliente]],'[1]F &amp; O'!$A:$A,'[1]F &amp; O'!D:D,"Sem Finder",0,1)</f>
        <v>Sem Finder</v>
      </c>
      <c r="S453" s="11" t="str">
        <f>_xlfn.XLOOKUP(Base_CRM[[#This Row],[Cód do Cliente]],'[1]F &amp; O'!$A:$A,'[1]F &amp; O'!E:E,"Sem Canal",0,1)</f>
        <v>Sem Canal</v>
      </c>
      <c r="T453" s="11" t="str">
        <f t="shared" si="7"/>
        <v>Cliente XP</v>
      </c>
    </row>
    <row r="454" spans="1:20" x14ac:dyDescent="0.3">
      <c r="A454">
        <v>4595532</v>
      </c>
      <c r="B454" s="8" t="s">
        <v>1052</v>
      </c>
      <c r="C454" s="9" t="s">
        <v>74</v>
      </c>
      <c r="D454" s="8">
        <v>0</v>
      </c>
      <c r="E454">
        <v>600000</v>
      </c>
      <c r="F454" t="s">
        <v>29</v>
      </c>
      <c r="G454" t="s">
        <v>35</v>
      </c>
      <c r="H454" s="10">
        <v>22801</v>
      </c>
      <c r="I454" s="10" t="s">
        <v>24</v>
      </c>
      <c r="K454" t="s">
        <v>42</v>
      </c>
      <c r="L454" t="s">
        <v>1053</v>
      </c>
      <c r="N454" s="11" t="str">
        <f>Base_CRM[[#This Row],[Cidade]]&amp;"/"&amp;Base_CRM[[#This Row],[Estado]]</f>
        <v>RIO DE JANEIRO/</v>
      </c>
      <c r="O454" s="12">
        <f>IFERROR(IF(Base_CRM[[#This Row],[PL Tailor]]&gt;Base_CRM[[#This Row],[PL Declarado]],1,Base_CRM[[#This Row],[PL Tailor]]/Base_CRM[[#This Row],[PL Declarado]]),0)</f>
        <v>0</v>
      </c>
      <c r="P454" s="11" t="str">
        <f>IF(Base_CRM[[#This Row],[Estado Civil]]="","PESSOA JURÍDICA","PESSOA FÍSICA")</f>
        <v>PESSOA FÍSICA</v>
      </c>
      <c r="Q454" t="str">
        <f>_xlfn.XLOOKUP(Base_CRM[[#This Row],[Cód do Cliente]],'[1]F &amp; O'!$A:$A,'[1]F &amp; O'!$F:$F,_xlfn.XLOOKUP(Base_CRM[[#This Row],[Assessor]],[1]DePara!$A:$A,[1]DePara!$D:$D,"Outros",0,1),0,1)</f>
        <v>Thayane Freitas</v>
      </c>
      <c r="R454" s="11" t="str">
        <f>_xlfn.XLOOKUP(Base_CRM[[#This Row],[Cód do Cliente]],'[1]F &amp; O'!$A:$A,'[1]F &amp; O'!D:D,"Sem Finder",0,1)</f>
        <v>Sem Finder</v>
      </c>
      <c r="S454" s="11" t="str">
        <f>_xlfn.XLOOKUP(Base_CRM[[#This Row],[Cód do Cliente]],'[1]F &amp; O'!$A:$A,'[1]F &amp; O'!E:E,"Sem Canal",0,1)</f>
        <v>Sem Canal</v>
      </c>
      <c r="T454" s="11" t="str">
        <f t="shared" si="7"/>
        <v>Cliente XP</v>
      </c>
    </row>
    <row r="455" spans="1:20" x14ac:dyDescent="0.3">
      <c r="A455">
        <v>459911</v>
      </c>
      <c r="B455" s="8" t="s">
        <v>1054</v>
      </c>
      <c r="C455" s="9" t="s">
        <v>39</v>
      </c>
      <c r="D455" s="8">
        <v>6308317.3499999996</v>
      </c>
      <c r="E455">
        <v>10000000</v>
      </c>
      <c r="F455" t="s">
        <v>22</v>
      </c>
      <c r="G455" t="s">
        <v>87</v>
      </c>
      <c r="H455" s="10">
        <v>22736</v>
      </c>
      <c r="I455" s="10" t="s">
        <v>115</v>
      </c>
      <c r="K455" t="s">
        <v>42</v>
      </c>
      <c r="L455" t="s">
        <v>1055</v>
      </c>
      <c r="N455" s="11" t="str">
        <f>Base_CRM[[#This Row],[Cidade]]&amp;"/"&amp;Base_CRM[[#This Row],[Estado]]</f>
        <v>BARUERI/</v>
      </c>
      <c r="O455" s="12">
        <f>IFERROR(IF(Base_CRM[[#This Row],[PL Tailor]]&gt;Base_CRM[[#This Row],[PL Declarado]],1,Base_CRM[[#This Row],[PL Tailor]]/Base_CRM[[#This Row],[PL Declarado]]),0)</f>
        <v>0.630831735</v>
      </c>
      <c r="P455" s="11" t="str">
        <f>IF(Base_CRM[[#This Row],[Estado Civil]]="","PESSOA JURÍDICA","PESSOA FÍSICA")</f>
        <v>PESSOA FÍSICA</v>
      </c>
      <c r="Q455" t="str">
        <f>_xlfn.XLOOKUP(Base_CRM[[#This Row],[Cód do Cliente]],'[1]F &amp; O'!$A:$A,'[1]F &amp; O'!$F:$F,_xlfn.XLOOKUP(Base_CRM[[#This Row],[Assessor]],[1]DePara!$A:$A,[1]DePara!$D:$D,"Outros",0,1),0,1)</f>
        <v>Gestora</v>
      </c>
      <c r="R455" s="11" t="str">
        <f>_xlfn.XLOOKUP(Base_CRM[[#This Row],[Cód do Cliente]],'[1]F &amp; O'!$A:$A,'[1]F &amp; O'!D:D,"Sem Finder",0,1)</f>
        <v>Sem Finder</v>
      </c>
      <c r="S455" s="11" t="str">
        <f>_xlfn.XLOOKUP(Base_CRM[[#This Row],[Cód do Cliente]],'[1]F &amp; O'!$A:$A,'[1]F &amp; O'!E:E,"Sem Canal",0,1)</f>
        <v>Gestora</v>
      </c>
      <c r="T455" s="11" t="str">
        <f t="shared" si="7"/>
        <v>Cliente XP</v>
      </c>
    </row>
    <row r="456" spans="1:20" x14ac:dyDescent="0.3">
      <c r="A456">
        <v>4609518</v>
      </c>
      <c r="B456" s="8" t="s">
        <v>1056</v>
      </c>
      <c r="C456" s="9" t="s">
        <v>21</v>
      </c>
      <c r="D456" s="8">
        <v>0</v>
      </c>
      <c r="E456">
        <v>50000</v>
      </c>
      <c r="F456" t="s">
        <v>40</v>
      </c>
      <c r="G456" t="s">
        <v>45</v>
      </c>
      <c r="H456" s="10">
        <v>35261</v>
      </c>
      <c r="I456" s="10" t="s">
        <v>192</v>
      </c>
      <c r="K456" t="s">
        <v>25</v>
      </c>
      <c r="L456" t="s">
        <v>1057</v>
      </c>
      <c r="N456" s="11" t="str">
        <f>Base_CRM[[#This Row],[Cidade]]&amp;"/"&amp;Base_CRM[[#This Row],[Estado]]</f>
        <v>FORTALEZA/</v>
      </c>
      <c r="O456" s="12">
        <f>IFERROR(IF(Base_CRM[[#This Row],[PL Tailor]]&gt;Base_CRM[[#This Row],[PL Declarado]],1,Base_CRM[[#This Row],[PL Tailor]]/Base_CRM[[#This Row],[PL Declarado]]),0)</f>
        <v>0</v>
      </c>
      <c r="P456" s="11" t="str">
        <f>IF(Base_CRM[[#This Row],[Estado Civil]]="","PESSOA JURÍDICA","PESSOA FÍSICA")</f>
        <v>PESSOA FÍSICA</v>
      </c>
      <c r="Q456" t="str">
        <f>_xlfn.XLOOKUP(Base_CRM[[#This Row],[Cód do Cliente]],'[1]F &amp; O'!$A:$A,'[1]F &amp; O'!$F:$F,_xlfn.XLOOKUP(Base_CRM[[#This Row],[Assessor]],[1]DePara!$A:$A,[1]DePara!$D:$D,"Outros",0,1),0,1)</f>
        <v>Leonardo Burle</v>
      </c>
      <c r="R456" s="11" t="str">
        <f>_xlfn.XLOOKUP(Base_CRM[[#This Row],[Cód do Cliente]],'[1]F &amp; O'!$A:$A,'[1]F &amp; O'!D:D,"Sem Finder",0,1)</f>
        <v>Sem Finder</v>
      </c>
      <c r="S456" s="11" t="str">
        <f>_xlfn.XLOOKUP(Base_CRM[[#This Row],[Cód do Cliente]],'[1]F &amp; O'!$A:$A,'[1]F &amp; O'!E:E,"Sem Canal",0,1)</f>
        <v>Sem Canal</v>
      </c>
      <c r="T456" s="11" t="str">
        <f t="shared" si="7"/>
        <v>Cliente XP</v>
      </c>
    </row>
    <row r="457" spans="1:20" x14ac:dyDescent="0.3">
      <c r="A457">
        <v>461002</v>
      </c>
      <c r="B457" s="8" t="s">
        <v>1058</v>
      </c>
      <c r="C457" s="9" t="s">
        <v>39</v>
      </c>
      <c r="D457" s="8">
        <v>434989.81</v>
      </c>
      <c r="E457">
        <v>1000000</v>
      </c>
      <c r="F457" t="s">
        <v>29</v>
      </c>
      <c r="G457" t="s">
        <v>87</v>
      </c>
      <c r="H457" s="10">
        <v>32584</v>
      </c>
      <c r="I457" s="10" t="s">
        <v>285</v>
      </c>
      <c r="K457" t="s">
        <v>25</v>
      </c>
      <c r="L457" t="s">
        <v>1059</v>
      </c>
      <c r="N457" s="11" t="str">
        <f>Base_CRM[[#This Row],[Cidade]]&amp;"/"&amp;Base_CRM[[#This Row],[Estado]]</f>
        <v>SANTANA DE PARNAIBA/</v>
      </c>
      <c r="O457" s="12">
        <f>IFERROR(IF(Base_CRM[[#This Row],[PL Tailor]]&gt;Base_CRM[[#This Row],[PL Declarado]],1,Base_CRM[[#This Row],[PL Tailor]]/Base_CRM[[#This Row],[PL Declarado]]),0)</f>
        <v>0.43498980999999998</v>
      </c>
      <c r="P457" s="11" t="str">
        <f>IF(Base_CRM[[#This Row],[Estado Civil]]="","PESSOA JURÍDICA","PESSOA FÍSICA")</f>
        <v>PESSOA FÍSICA</v>
      </c>
      <c r="Q457" t="str">
        <f>_xlfn.XLOOKUP(Base_CRM[[#This Row],[Cód do Cliente]],'[1]F &amp; O'!$A:$A,'[1]F &amp; O'!$F:$F,_xlfn.XLOOKUP(Base_CRM[[#This Row],[Assessor]],[1]DePara!$A:$A,[1]DePara!$D:$D,"Outros",0,1),0,1)</f>
        <v>Gestora</v>
      </c>
      <c r="R457" s="11" t="str">
        <f>_xlfn.XLOOKUP(Base_CRM[[#This Row],[Cód do Cliente]],'[1]F &amp; O'!$A:$A,'[1]F &amp; O'!D:D,"Sem Finder",0,1)</f>
        <v>Sem Finder</v>
      </c>
      <c r="S457" s="11" t="str">
        <f>_xlfn.XLOOKUP(Base_CRM[[#This Row],[Cód do Cliente]],'[1]F &amp; O'!$A:$A,'[1]F &amp; O'!E:E,"Sem Canal",0,1)</f>
        <v>Gestora</v>
      </c>
      <c r="T457" s="11" t="str">
        <f t="shared" si="7"/>
        <v>Cliente XP</v>
      </c>
    </row>
    <row r="458" spans="1:20" x14ac:dyDescent="0.3">
      <c r="A458">
        <v>4632286</v>
      </c>
      <c r="B458" s="8" t="s">
        <v>1060</v>
      </c>
      <c r="C458" s="9" t="s">
        <v>34</v>
      </c>
      <c r="D458" s="8">
        <v>173006.84</v>
      </c>
      <c r="E458">
        <v>140000</v>
      </c>
      <c r="F458" t="s">
        <v>29</v>
      </c>
      <c r="G458" t="s">
        <v>71</v>
      </c>
      <c r="H458" s="10">
        <v>29928</v>
      </c>
      <c r="I458" s="10" t="s">
        <v>84</v>
      </c>
      <c r="K458" t="s">
        <v>25</v>
      </c>
      <c r="L458" t="s">
        <v>1061</v>
      </c>
      <c r="N458" s="11" t="str">
        <f>Base_CRM[[#This Row],[Cidade]]&amp;"/"&amp;Base_CRM[[#This Row],[Estado]]</f>
        <v>NITEROI/</v>
      </c>
      <c r="O458" s="12">
        <f>IFERROR(IF(Base_CRM[[#This Row],[PL Tailor]]&gt;Base_CRM[[#This Row],[PL Declarado]],1,Base_CRM[[#This Row],[PL Tailor]]/Base_CRM[[#This Row],[PL Declarado]]),0)</f>
        <v>1</v>
      </c>
      <c r="P458" s="11" t="str">
        <f>IF(Base_CRM[[#This Row],[Estado Civil]]="","PESSOA JURÍDICA","PESSOA FÍSICA")</f>
        <v>PESSOA FÍSICA</v>
      </c>
      <c r="Q458" t="str">
        <f>_xlfn.XLOOKUP(Base_CRM[[#This Row],[Cód do Cliente]],'[1]F &amp; O'!$A:$A,'[1]F &amp; O'!$F:$F,_xlfn.XLOOKUP(Base_CRM[[#This Row],[Assessor]],[1]DePara!$A:$A,[1]DePara!$D:$D,"Outros",0,1),0,1)</f>
        <v>Adonias Noronha</v>
      </c>
      <c r="R458" s="11" t="str">
        <f>_xlfn.XLOOKUP(Base_CRM[[#This Row],[Cód do Cliente]],'[1]F &amp; O'!$A:$A,'[1]F &amp; O'!D:D,"Sem Finder",0,1)</f>
        <v>Sem Finder</v>
      </c>
      <c r="S458" s="11" t="str">
        <f>_xlfn.XLOOKUP(Base_CRM[[#This Row],[Cód do Cliente]],'[1]F &amp; O'!$A:$A,'[1]F &amp; O'!E:E,"Sem Canal",0,1)</f>
        <v>Sem Canal</v>
      </c>
      <c r="T458" s="11" t="str">
        <f t="shared" si="7"/>
        <v>Cliente XP</v>
      </c>
    </row>
    <row r="459" spans="1:20" x14ac:dyDescent="0.3">
      <c r="A459">
        <v>466740</v>
      </c>
      <c r="B459" s="8" t="s">
        <v>416</v>
      </c>
      <c r="C459" s="9" t="s">
        <v>48</v>
      </c>
      <c r="D459" s="8">
        <v>3858195.71</v>
      </c>
      <c r="E459">
        <v>63000000</v>
      </c>
      <c r="F459" t="s">
        <v>22</v>
      </c>
      <c r="G459" t="s">
        <v>87</v>
      </c>
      <c r="H459" s="10">
        <v>26845</v>
      </c>
      <c r="I459" s="10" t="s">
        <v>379</v>
      </c>
      <c r="K459" t="s">
        <v>42</v>
      </c>
      <c r="L459" t="s">
        <v>417</v>
      </c>
      <c r="M459" t="s">
        <v>1062</v>
      </c>
      <c r="N459" s="11" t="str">
        <f>Base_CRM[[#This Row],[Cidade]]&amp;"/"&amp;Base_CRM[[#This Row],[Estado]]</f>
        <v>Barueri/</v>
      </c>
      <c r="O459" s="12">
        <f>IFERROR(IF(Base_CRM[[#This Row],[PL Tailor]]&gt;Base_CRM[[#This Row],[PL Declarado]],1,Base_CRM[[#This Row],[PL Tailor]]/Base_CRM[[#This Row],[PL Declarado]]),0)</f>
        <v>6.1241201746031745E-2</v>
      </c>
      <c r="P459" s="11" t="str">
        <f>IF(Base_CRM[[#This Row],[Estado Civil]]="","PESSOA JURÍDICA","PESSOA FÍSICA")</f>
        <v>PESSOA FÍSICA</v>
      </c>
      <c r="Q459" t="str">
        <f>_xlfn.XLOOKUP(Base_CRM[[#This Row],[Cód do Cliente]],'[1]F &amp; O'!$A:$A,'[1]F &amp; O'!$F:$F,_xlfn.XLOOKUP(Base_CRM[[#This Row],[Assessor]],[1]DePara!$A:$A,[1]DePara!$D:$D,"Outros",0,1),0,1)</f>
        <v>Raphael Farias</v>
      </c>
      <c r="R459" s="11" t="str">
        <f>_xlfn.XLOOKUP(Base_CRM[[#This Row],[Cód do Cliente]],'[1]F &amp; O'!$A:$A,'[1]F &amp; O'!D:D,"Sem Finder",0,1)</f>
        <v>Sem Finder</v>
      </c>
      <c r="S459" s="11" t="str">
        <f>_xlfn.XLOOKUP(Base_CRM[[#This Row],[Cód do Cliente]],'[1]F &amp; O'!$A:$A,'[1]F &amp; O'!E:E,"Sem Canal",0,1)</f>
        <v>Sem Canal</v>
      </c>
      <c r="T459" s="11" t="str">
        <f t="shared" si="7"/>
        <v>Cliente XP</v>
      </c>
    </row>
    <row r="460" spans="1:20" x14ac:dyDescent="0.3">
      <c r="A460">
        <v>4672346</v>
      </c>
      <c r="B460" s="8" t="s">
        <v>1063</v>
      </c>
      <c r="C460" s="9" t="s">
        <v>48</v>
      </c>
      <c r="D460" s="8">
        <v>1635.69</v>
      </c>
      <c r="E460">
        <v>55000</v>
      </c>
      <c r="F460" t="s">
        <v>29</v>
      </c>
      <c r="G460" t="s">
        <v>67</v>
      </c>
      <c r="H460" s="10">
        <v>31287</v>
      </c>
      <c r="I460" s="10" t="s">
        <v>31</v>
      </c>
      <c r="K460" t="s">
        <v>25</v>
      </c>
      <c r="L460" t="s">
        <v>1064</v>
      </c>
      <c r="N460" s="11" t="str">
        <f>Base_CRM[[#This Row],[Cidade]]&amp;"/"&amp;Base_CRM[[#This Row],[Estado]]</f>
        <v>SAO PAULO/</v>
      </c>
      <c r="O460" s="12">
        <f>IFERROR(IF(Base_CRM[[#This Row],[PL Tailor]]&gt;Base_CRM[[#This Row],[PL Declarado]],1,Base_CRM[[#This Row],[PL Tailor]]/Base_CRM[[#This Row],[PL Declarado]]),0)</f>
        <v>2.9739818181818183E-2</v>
      </c>
      <c r="P460" s="11" t="str">
        <f>IF(Base_CRM[[#This Row],[Estado Civil]]="","PESSOA JURÍDICA","PESSOA FÍSICA")</f>
        <v>PESSOA FÍSICA</v>
      </c>
      <c r="Q460" t="str">
        <f>_xlfn.XLOOKUP(Base_CRM[[#This Row],[Cód do Cliente]],'[1]F &amp; O'!$A:$A,'[1]F &amp; O'!$F:$F,_xlfn.XLOOKUP(Base_CRM[[#This Row],[Assessor]],[1]DePara!$A:$A,[1]DePara!$D:$D,"Outros",0,1),0,1)</f>
        <v>Raphael Farias</v>
      </c>
      <c r="R460" s="11" t="str">
        <f>_xlfn.XLOOKUP(Base_CRM[[#This Row],[Cód do Cliente]],'[1]F &amp; O'!$A:$A,'[1]F &amp; O'!D:D,"Sem Finder",0,1)</f>
        <v>Sem Finder</v>
      </c>
      <c r="S460" s="11" t="str">
        <f>_xlfn.XLOOKUP(Base_CRM[[#This Row],[Cód do Cliente]],'[1]F &amp; O'!$A:$A,'[1]F &amp; O'!E:E,"Sem Canal",0,1)</f>
        <v>Sem Canal</v>
      </c>
      <c r="T460" s="11" t="str">
        <f t="shared" si="7"/>
        <v>Cliente XP</v>
      </c>
    </row>
    <row r="461" spans="1:20" x14ac:dyDescent="0.3">
      <c r="A461">
        <v>467423</v>
      </c>
      <c r="B461" s="8" t="s">
        <v>1065</v>
      </c>
      <c r="C461" s="9" t="s">
        <v>74</v>
      </c>
      <c r="D461" s="8">
        <v>774.78</v>
      </c>
      <c r="E461">
        <v>2000000</v>
      </c>
      <c r="F461" t="s">
        <v>29</v>
      </c>
      <c r="G461" t="s">
        <v>127</v>
      </c>
      <c r="H461" s="10">
        <v>16259</v>
      </c>
      <c r="I461" s="10" t="s">
        <v>31</v>
      </c>
      <c r="K461" t="s">
        <v>42</v>
      </c>
      <c r="L461" t="s">
        <v>1066</v>
      </c>
      <c r="M461" t="s">
        <v>64</v>
      </c>
      <c r="N461" s="11" t="str">
        <f>Base_CRM[[#This Row],[Cidade]]&amp;"/"&amp;Base_CRM[[#This Row],[Estado]]</f>
        <v>SAO PAULO/</v>
      </c>
      <c r="O461" s="12">
        <f>IFERROR(IF(Base_CRM[[#This Row],[PL Tailor]]&gt;Base_CRM[[#This Row],[PL Declarado]],1,Base_CRM[[#This Row],[PL Tailor]]/Base_CRM[[#This Row],[PL Declarado]]),0)</f>
        <v>3.8738999999999999E-4</v>
      </c>
      <c r="P461" s="11" t="str">
        <f>IF(Base_CRM[[#This Row],[Estado Civil]]="","PESSOA JURÍDICA","PESSOA FÍSICA")</f>
        <v>PESSOA FÍSICA</v>
      </c>
      <c r="Q461" t="str">
        <f>_xlfn.XLOOKUP(Base_CRM[[#This Row],[Cód do Cliente]],'[1]F &amp; O'!$A:$A,'[1]F &amp; O'!$F:$F,_xlfn.XLOOKUP(Base_CRM[[#This Row],[Assessor]],[1]DePara!$A:$A,[1]DePara!$D:$D,"Outros",0,1),0,1)</f>
        <v>Thayane Freitas</v>
      </c>
      <c r="R461" s="11" t="str">
        <f>_xlfn.XLOOKUP(Base_CRM[[#This Row],[Cód do Cliente]],'[1]F &amp; O'!$A:$A,'[1]F &amp; O'!D:D,"Sem Finder",0,1)</f>
        <v>Sem Finder</v>
      </c>
      <c r="S461" s="11" t="str">
        <f>_xlfn.XLOOKUP(Base_CRM[[#This Row],[Cód do Cliente]],'[1]F &amp; O'!$A:$A,'[1]F &amp; O'!E:E,"Sem Canal",0,1)</f>
        <v>Sem Canal</v>
      </c>
      <c r="T461" s="11" t="str">
        <f t="shared" si="7"/>
        <v>Cliente XP</v>
      </c>
    </row>
    <row r="462" spans="1:20" x14ac:dyDescent="0.3">
      <c r="A462">
        <v>4681383</v>
      </c>
      <c r="B462" s="8" t="s">
        <v>1067</v>
      </c>
      <c r="C462" s="9" t="s">
        <v>74</v>
      </c>
      <c r="D462" s="8">
        <v>0</v>
      </c>
      <c r="E462">
        <v>100000</v>
      </c>
      <c r="F462" t="s">
        <v>40</v>
      </c>
      <c r="G462" t="s">
        <v>96</v>
      </c>
      <c r="H462" s="10">
        <v>23464</v>
      </c>
      <c r="I462" s="10" t="s">
        <v>24</v>
      </c>
      <c r="K462" t="s">
        <v>68</v>
      </c>
      <c r="L462" t="s">
        <v>1068</v>
      </c>
      <c r="N462" s="11" t="str">
        <f>Base_CRM[[#This Row],[Cidade]]&amp;"/"&amp;Base_CRM[[#This Row],[Estado]]</f>
        <v>RIO DE JANEIRO/</v>
      </c>
      <c r="O462" s="12">
        <f>IFERROR(IF(Base_CRM[[#This Row],[PL Tailor]]&gt;Base_CRM[[#This Row],[PL Declarado]],1,Base_CRM[[#This Row],[PL Tailor]]/Base_CRM[[#This Row],[PL Declarado]]),0)</f>
        <v>0</v>
      </c>
      <c r="P462" s="11" t="str">
        <f>IF(Base_CRM[[#This Row],[Estado Civil]]="","PESSOA JURÍDICA","PESSOA FÍSICA")</f>
        <v>PESSOA FÍSICA</v>
      </c>
      <c r="Q462" t="str">
        <f>_xlfn.XLOOKUP(Base_CRM[[#This Row],[Cód do Cliente]],'[1]F &amp; O'!$A:$A,'[1]F &amp; O'!$F:$F,_xlfn.XLOOKUP(Base_CRM[[#This Row],[Assessor]],[1]DePara!$A:$A,[1]DePara!$D:$D,"Outros",0,1),0,1)</f>
        <v>Thayane Freitas</v>
      </c>
      <c r="R462" s="11" t="str">
        <f>_xlfn.XLOOKUP(Base_CRM[[#This Row],[Cód do Cliente]],'[1]F &amp; O'!$A:$A,'[1]F &amp; O'!D:D,"Sem Finder",0,1)</f>
        <v>Sem Finder</v>
      </c>
      <c r="S462" s="11" t="str">
        <f>_xlfn.XLOOKUP(Base_CRM[[#This Row],[Cód do Cliente]],'[1]F &amp; O'!$A:$A,'[1]F &amp; O'!E:E,"Sem Canal",0,1)</f>
        <v>Sem Canal</v>
      </c>
      <c r="T462" s="11" t="str">
        <f t="shared" si="7"/>
        <v>Cliente XP</v>
      </c>
    </row>
    <row r="463" spans="1:20" x14ac:dyDescent="0.3">
      <c r="A463">
        <v>4684672</v>
      </c>
      <c r="B463" s="8" t="s">
        <v>1069</v>
      </c>
      <c r="C463" s="9" t="s">
        <v>74</v>
      </c>
      <c r="D463" s="8">
        <v>127179.11</v>
      </c>
      <c r="E463">
        <v>1100000</v>
      </c>
      <c r="F463" t="s">
        <v>22</v>
      </c>
      <c r="G463" t="s">
        <v>67</v>
      </c>
      <c r="H463" s="10">
        <v>25899</v>
      </c>
      <c r="I463" s="10" t="s">
        <v>31</v>
      </c>
      <c r="K463" t="s">
        <v>42</v>
      </c>
      <c r="L463" t="s">
        <v>1070</v>
      </c>
      <c r="N463" s="11" t="str">
        <f>Base_CRM[[#This Row],[Cidade]]&amp;"/"&amp;Base_CRM[[#This Row],[Estado]]</f>
        <v>SAO PAULO/</v>
      </c>
      <c r="O463" s="12">
        <f>IFERROR(IF(Base_CRM[[#This Row],[PL Tailor]]&gt;Base_CRM[[#This Row],[PL Declarado]],1,Base_CRM[[#This Row],[PL Tailor]]/Base_CRM[[#This Row],[PL Declarado]]),0)</f>
        <v>0.11561737272727272</v>
      </c>
      <c r="P463" s="11" t="str">
        <f>IF(Base_CRM[[#This Row],[Estado Civil]]="","PESSOA JURÍDICA","PESSOA FÍSICA")</f>
        <v>PESSOA FÍSICA</v>
      </c>
      <c r="Q463" t="str">
        <f>_xlfn.XLOOKUP(Base_CRM[[#This Row],[Cód do Cliente]],'[1]F &amp; O'!$A:$A,'[1]F &amp; O'!$F:$F,_xlfn.XLOOKUP(Base_CRM[[#This Row],[Assessor]],[1]DePara!$A:$A,[1]DePara!$D:$D,"Outros",0,1),0,1)</f>
        <v>Thayane Freitas</v>
      </c>
      <c r="R463" s="11" t="str">
        <f>_xlfn.XLOOKUP(Base_CRM[[#This Row],[Cód do Cliente]],'[1]F &amp; O'!$A:$A,'[1]F &amp; O'!D:D,"Sem Finder",0,1)</f>
        <v>Sem Finder</v>
      </c>
      <c r="S463" s="11" t="str">
        <f>_xlfn.XLOOKUP(Base_CRM[[#This Row],[Cód do Cliente]],'[1]F &amp; O'!$A:$A,'[1]F &amp; O'!E:E,"Sem Canal",0,1)</f>
        <v>Sem Canal</v>
      </c>
      <c r="T463" s="11" t="str">
        <f t="shared" si="7"/>
        <v>Cliente XP</v>
      </c>
    </row>
    <row r="464" spans="1:20" x14ac:dyDescent="0.3">
      <c r="A464">
        <v>4699416</v>
      </c>
      <c r="B464" s="8" t="s">
        <v>1071</v>
      </c>
      <c r="C464" s="9" t="s">
        <v>21</v>
      </c>
      <c r="D464" s="8">
        <v>0</v>
      </c>
      <c r="E464">
        <v>10</v>
      </c>
      <c r="F464" t="s">
        <v>40</v>
      </c>
      <c r="G464" t="s">
        <v>164</v>
      </c>
      <c r="H464" s="10">
        <v>17536</v>
      </c>
      <c r="I464" s="10" t="s">
        <v>584</v>
      </c>
      <c r="K464" t="s">
        <v>88</v>
      </c>
      <c r="L464" t="s">
        <v>1072</v>
      </c>
      <c r="N464" s="11" t="str">
        <f>Base_CRM[[#This Row],[Cidade]]&amp;"/"&amp;Base_CRM[[#This Row],[Estado]]</f>
        <v>NOVA FRIBURGO/</v>
      </c>
      <c r="O464" s="12">
        <f>IFERROR(IF(Base_CRM[[#This Row],[PL Tailor]]&gt;Base_CRM[[#This Row],[PL Declarado]],1,Base_CRM[[#This Row],[PL Tailor]]/Base_CRM[[#This Row],[PL Declarado]]),0)</f>
        <v>0</v>
      </c>
      <c r="P464" s="11" t="str">
        <f>IF(Base_CRM[[#This Row],[Estado Civil]]="","PESSOA JURÍDICA","PESSOA FÍSICA")</f>
        <v>PESSOA FÍSICA</v>
      </c>
      <c r="Q464" t="str">
        <f>_xlfn.XLOOKUP(Base_CRM[[#This Row],[Cód do Cliente]],'[1]F &amp; O'!$A:$A,'[1]F &amp; O'!$F:$F,_xlfn.XLOOKUP(Base_CRM[[#This Row],[Assessor]],[1]DePara!$A:$A,[1]DePara!$D:$D,"Outros",0,1),0,1)</f>
        <v>Leonardo Burle</v>
      </c>
      <c r="R464" s="11" t="str">
        <f>_xlfn.XLOOKUP(Base_CRM[[#This Row],[Cód do Cliente]],'[1]F &amp; O'!$A:$A,'[1]F &amp; O'!D:D,"Sem Finder",0,1)</f>
        <v>Sem Finder</v>
      </c>
      <c r="S464" s="11" t="str">
        <f>_xlfn.XLOOKUP(Base_CRM[[#This Row],[Cód do Cliente]],'[1]F &amp; O'!$A:$A,'[1]F &amp; O'!E:E,"Sem Canal",0,1)</f>
        <v>Sem Canal</v>
      </c>
      <c r="T464" s="11" t="str">
        <f t="shared" si="7"/>
        <v>Cliente XP</v>
      </c>
    </row>
    <row r="465" spans="1:20" x14ac:dyDescent="0.3">
      <c r="A465">
        <v>4744257</v>
      </c>
      <c r="B465" s="8" t="s">
        <v>1073</v>
      </c>
      <c r="C465" s="9" t="s">
        <v>48</v>
      </c>
      <c r="D465" s="8">
        <v>3266679.54</v>
      </c>
      <c r="E465">
        <v>5000000</v>
      </c>
      <c r="F465" t="s">
        <v>22</v>
      </c>
      <c r="G465" t="s">
        <v>67</v>
      </c>
      <c r="H465" s="10">
        <v>34650</v>
      </c>
      <c r="I465" s="10" t="s">
        <v>349</v>
      </c>
      <c r="K465" t="s">
        <v>25</v>
      </c>
      <c r="L465" t="s">
        <v>1074</v>
      </c>
      <c r="M465" t="s">
        <v>27</v>
      </c>
      <c r="N465" s="11" t="str">
        <f>Base_CRM[[#This Row],[Cidade]]&amp;"/"&amp;Base_CRM[[#This Row],[Estado]]</f>
        <v>São Paulo/</v>
      </c>
      <c r="O465" s="12">
        <f>IFERROR(IF(Base_CRM[[#This Row],[PL Tailor]]&gt;Base_CRM[[#This Row],[PL Declarado]],1,Base_CRM[[#This Row],[PL Tailor]]/Base_CRM[[#This Row],[PL Declarado]]),0)</f>
        <v>0.65333590799999997</v>
      </c>
      <c r="P465" s="11" t="str">
        <f>IF(Base_CRM[[#This Row],[Estado Civil]]="","PESSOA JURÍDICA","PESSOA FÍSICA")</f>
        <v>PESSOA FÍSICA</v>
      </c>
      <c r="Q465" t="str">
        <f>_xlfn.XLOOKUP(Base_CRM[[#This Row],[Cód do Cliente]],'[1]F &amp; O'!$A:$A,'[1]F &amp; O'!$F:$F,_xlfn.XLOOKUP(Base_CRM[[#This Row],[Assessor]],[1]DePara!$A:$A,[1]DePara!$D:$D,"Outros",0,1),0,1)</f>
        <v>Raphael Farias</v>
      </c>
      <c r="R465" s="11" t="str">
        <f>_xlfn.XLOOKUP(Base_CRM[[#This Row],[Cód do Cliente]],'[1]F &amp; O'!$A:$A,'[1]F &amp; O'!D:D,"Sem Finder",0,1)</f>
        <v>Sem Finder</v>
      </c>
      <c r="S465" s="11" t="str">
        <f>_xlfn.XLOOKUP(Base_CRM[[#This Row],[Cód do Cliente]],'[1]F &amp; O'!$A:$A,'[1]F &amp; O'!E:E,"Sem Canal",0,1)</f>
        <v>Sem Canal</v>
      </c>
      <c r="T465" s="11" t="str">
        <f t="shared" si="7"/>
        <v>Cliente XP</v>
      </c>
    </row>
    <row r="466" spans="1:20" x14ac:dyDescent="0.3">
      <c r="A466">
        <v>475909</v>
      </c>
      <c r="B466" s="8" t="s">
        <v>1075</v>
      </c>
      <c r="C466" s="9" t="s">
        <v>103</v>
      </c>
      <c r="D466" s="8">
        <v>2881685.23</v>
      </c>
      <c r="E466">
        <v>3000000</v>
      </c>
      <c r="F466" t="s">
        <v>29</v>
      </c>
      <c r="G466" t="s">
        <v>35</v>
      </c>
      <c r="H466" s="10">
        <v>21488</v>
      </c>
      <c r="I466" s="10" t="s">
        <v>24</v>
      </c>
      <c r="K466" t="s">
        <v>42</v>
      </c>
      <c r="L466" t="s">
        <v>1076</v>
      </c>
      <c r="M466" t="s">
        <v>125</v>
      </c>
      <c r="N466" s="11" t="str">
        <f>Base_CRM[[#This Row],[Cidade]]&amp;"/"&amp;Base_CRM[[#This Row],[Estado]]</f>
        <v>RIO DE JANEIRO/</v>
      </c>
      <c r="O466" s="12">
        <f>IFERROR(IF(Base_CRM[[#This Row],[PL Tailor]]&gt;Base_CRM[[#This Row],[PL Declarado]],1,Base_CRM[[#This Row],[PL Tailor]]/Base_CRM[[#This Row],[PL Declarado]]),0)</f>
        <v>0.96056174333333333</v>
      </c>
      <c r="P466" s="11" t="str">
        <f>IF(Base_CRM[[#This Row],[Estado Civil]]="","PESSOA JURÍDICA","PESSOA FÍSICA")</f>
        <v>PESSOA FÍSICA</v>
      </c>
      <c r="Q466" t="str">
        <f>_xlfn.XLOOKUP(Base_CRM[[#This Row],[Cód do Cliente]],'[1]F &amp; O'!$A:$A,'[1]F &amp; O'!$F:$F,_xlfn.XLOOKUP(Base_CRM[[#This Row],[Assessor]],[1]DePara!$A:$A,[1]DePara!$D:$D,"Outros",0,1),0,1)</f>
        <v>Raphael Pereira</v>
      </c>
      <c r="R466" s="11" t="str">
        <f>_xlfn.XLOOKUP(Base_CRM[[#This Row],[Cód do Cliente]],'[1]F &amp; O'!$A:$A,'[1]F &amp; O'!D:D,"Sem Finder",0,1)</f>
        <v>Sem Finder</v>
      </c>
      <c r="S466" s="11" t="str">
        <f>_xlfn.XLOOKUP(Base_CRM[[#This Row],[Cód do Cliente]],'[1]F &amp; O'!$A:$A,'[1]F &amp; O'!E:E,"Sem Canal",0,1)</f>
        <v>Sem Canal</v>
      </c>
      <c r="T466" s="11" t="str">
        <f t="shared" si="7"/>
        <v>Cliente XP</v>
      </c>
    </row>
    <row r="467" spans="1:20" x14ac:dyDescent="0.3">
      <c r="A467">
        <v>4778559</v>
      </c>
      <c r="B467" s="8" t="s">
        <v>1077</v>
      </c>
      <c r="C467" s="9" t="s">
        <v>21</v>
      </c>
      <c r="D467" s="8">
        <v>0</v>
      </c>
      <c r="E467">
        <v>20000</v>
      </c>
      <c r="F467" t="s">
        <v>40</v>
      </c>
      <c r="G467" t="s">
        <v>35</v>
      </c>
      <c r="H467" s="10">
        <v>18019</v>
      </c>
      <c r="I467" s="10" t="s">
        <v>584</v>
      </c>
      <c r="K467" t="s">
        <v>593</v>
      </c>
      <c r="L467" t="s">
        <v>1078</v>
      </c>
      <c r="N467" s="11" t="str">
        <f>Base_CRM[[#This Row],[Cidade]]&amp;"/"&amp;Base_CRM[[#This Row],[Estado]]</f>
        <v>NOVA FRIBURGO/</v>
      </c>
      <c r="O467" s="12">
        <f>IFERROR(IF(Base_CRM[[#This Row],[PL Tailor]]&gt;Base_CRM[[#This Row],[PL Declarado]],1,Base_CRM[[#This Row],[PL Tailor]]/Base_CRM[[#This Row],[PL Declarado]]),0)</f>
        <v>0</v>
      </c>
      <c r="P467" s="11" t="str">
        <f>IF(Base_CRM[[#This Row],[Estado Civil]]="","PESSOA JURÍDICA","PESSOA FÍSICA")</f>
        <v>PESSOA FÍSICA</v>
      </c>
      <c r="Q467" t="str">
        <f>_xlfn.XLOOKUP(Base_CRM[[#This Row],[Cód do Cliente]],'[1]F &amp; O'!$A:$A,'[1]F &amp; O'!$F:$F,_xlfn.XLOOKUP(Base_CRM[[#This Row],[Assessor]],[1]DePara!$A:$A,[1]DePara!$D:$D,"Outros",0,1),0,1)</f>
        <v>Leonardo Burle</v>
      </c>
      <c r="R467" s="11" t="str">
        <f>_xlfn.XLOOKUP(Base_CRM[[#This Row],[Cód do Cliente]],'[1]F &amp; O'!$A:$A,'[1]F &amp; O'!D:D,"Sem Finder",0,1)</f>
        <v>Sem Finder</v>
      </c>
      <c r="S467" s="11" t="str">
        <f>_xlfn.XLOOKUP(Base_CRM[[#This Row],[Cód do Cliente]],'[1]F &amp; O'!$A:$A,'[1]F &amp; O'!E:E,"Sem Canal",0,1)</f>
        <v>Sem Canal</v>
      </c>
      <c r="T467" s="11" t="str">
        <f t="shared" si="7"/>
        <v>Cliente XP</v>
      </c>
    </row>
    <row r="468" spans="1:20" x14ac:dyDescent="0.3">
      <c r="A468">
        <v>4784365</v>
      </c>
      <c r="B468" s="8" t="s">
        <v>1079</v>
      </c>
      <c r="C468" s="9" t="s">
        <v>34</v>
      </c>
      <c r="D468" s="8">
        <v>484203.67</v>
      </c>
      <c r="E468">
        <v>500000</v>
      </c>
      <c r="F468" t="s">
        <v>22</v>
      </c>
      <c r="G468" t="s">
        <v>177</v>
      </c>
      <c r="H468" s="10">
        <v>31240</v>
      </c>
      <c r="I468" s="10" t="s">
        <v>735</v>
      </c>
      <c r="K468" t="s">
        <v>42</v>
      </c>
      <c r="L468" t="s">
        <v>1080</v>
      </c>
      <c r="N468" s="11" t="str">
        <f>Base_CRM[[#This Row],[Cidade]]&amp;"/"&amp;Base_CRM[[#This Row],[Estado]]</f>
        <v>Goiânia/</v>
      </c>
      <c r="O468" s="12">
        <f>IFERROR(IF(Base_CRM[[#This Row],[PL Tailor]]&gt;Base_CRM[[#This Row],[PL Declarado]],1,Base_CRM[[#This Row],[PL Tailor]]/Base_CRM[[#This Row],[PL Declarado]]),0)</f>
        <v>0.96840733999999995</v>
      </c>
      <c r="P468" s="11" t="str">
        <f>IF(Base_CRM[[#This Row],[Estado Civil]]="","PESSOA JURÍDICA","PESSOA FÍSICA")</f>
        <v>PESSOA FÍSICA</v>
      </c>
      <c r="Q468" t="str">
        <f>_xlfn.XLOOKUP(Base_CRM[[#This Row],[Cód do Cliente]],'[1]F &amp; O'!$A:$A,'[1]F &amp; O'!$F:$F,_xlfn.XLOOKUP(Base_CRM[[#This Row],[Assessor]],[1]DePara!$A:$A,[1]DePara!$D:$D,"Outros",0,1),0,1)</f>
        <v>Adonias Noronha</v>
      </c>
      <c r="R468" s="11" t="str">
        <f>_xlfn.XLOOKUP(Base_CRM[[#This Row],[Cód do Cliente]],'[1]F &amp; O'!$A:$A,'[1]F &amp; O'!D:D,"Sem Finder",0,1)</f>
        <v>Sem Finder</v>
      </c>
      <c r="S468" s="11" t="str">
        <f>_xlfn.XLOOKUP(Base_CRM[[#This Row],[Cód do Cliente]],'[1]F &amp; O'!$A:$A,'[1]F &amp; O'!E:E,"Sem Canal",0,1)</f>
        <v>Sem Canal</v>
      </c>
      <c r="T468" s="11" t="str">
        <f t="shared" si="7"/>
        <v>Cliente XP</v>
      </c>
    </row>
    <row r="469" spans="1:20" x14ac:dyDescent="0.3">
      <c r="A469">
        <v>4797257</v>
      </c>
      <c r="B469" s="8" t="s">
        <v>1081</v>
      </c>
      <c r="C469" s="9" t="s">
        <v>48</v>
      </c>
      <c r="D469" s="8">
        <v>92841.62</v>
      </c>
      <c r="E469">
        <v>500000</v>
      </c>
      <c r="F469" t="s">
        <v>22</v>
      </c>
      <c r="G469" t="s">
        <v>67</v>
      </c>
      <c r="H469" s="10">
        <v>33926</v>
      </c>
      <c r="I469" s="10" t="s">
        <v>1082</v>
      </c>
      <c r="K469" t="s">
        <v>25</v>
      </c>
      <c r="L469" t="s">
        <v>1083</v>
      </c>
      <c r="N469" s="11" t="str">
        <f>Base_CRM[[#This Row],[Cidade]]&amp;"/"&amp;Base_CRM[[#This Row],[Estado]]</f>
        <v>Recife/</v>
      </c>
      <c r="O469" s="12">
        <f>IFERROR(IF(Base_CRM[[#This Row],[PL Tailor]]&gt;Base_CRM[[#This Row],[PL Declarado]],1,Base_CRM[[#This Row],[PL Tailor]]/Base_CRM[[#This Row],[PL Declarado]]),0)</f>
        <v>0.18568324</v>
      </c>
      <c r="P469" s="11" t="str">
        <f>IF(Base_CRM[[#This Row],[Estado Civil]]="","PESSOA JURÍDICA","PESSOA FÍSICA")</f>
        <v>PESSOA FÍSICA</v>
      </c>
      <c r="Q469" t="str">
        <f>_xlfn.XLOOKUP(Base_CRM[[#This Row],[Cód do Cliente]],'[1]F &amp; O'!$A:$A,'[1]F &amp; O'!$F:$F,_xlfn.XLOOKUP(Base_CRM[[#This Row],[Assessor]],[1]DePara!$A:$A,[1]DePara!$D:$D,"Outros",0,1),0,1)</f>
        <v>Raphael Farias</v>
      </c>
      <c r="R469" s="11" t="str">
        <f>_xlfn.XLOOKUP(Base_CRM[[#This Row],[Cód do Cliente]],'[1]F &amp; O'!$A:$A,'[1]F &amp; O'!D:D,"Sem Finder",0,1)</f>
        <v>Sem Finder</v>
      </c>
      <c r="S469" s="11" t="str">
        <f>_xlfn.XLOOKUP(Base_CRM[[#This Row],[Cód do Cliente]],'[1]F &amp; O'!$A:$A,'[1]F &amp; O'!E:E,"Sem Canal",0,1)</f>
        <v>Sem Canal</v>
      </c>
      <c r="T469" s="11" t="str">
        <f t="shared" si="7"/>
        <v>Cliente XP</v>
      </c>
    </row>
    <row r="470" spans="1:20" x14ac:dyDescent="0.3">
      <c r="A470">
        <v>4801169</v>
      </c>
      <c r="B470" s="8" t="s">
        <v>1084</v>
      </c>
      <c r="C470" s="9" t="s">
        <v>21</v>
      </c>
      <c r="D470" s="8">
        <v>3209925.6</v>
      </c>
      <c r="E470">
        <v>3000000</v>
      </c>
      <c r="F470" t="s">
        <v>22</v>
      </c>
      <c r="G470" t="s">
        <v>30</v>
      </c>
      <c r="H470" s="10">
        <v>29421</v>
      </c>
      <c r="I470" s="10" t="s">
        <v>24</v>
      </c>
      <c r="K470" t="s">
        <v>42</v>
      </c>
      <c r="L470" t="s">
        <v>1085</v>
      </c>
      <c r="M470" t="s">
        <v>64</v>
      </c>
      <c r="N470" s="11" t="str">
        <f>Base_CRM[[#This Row],[Cidade]]&amp;"/"&amp;Base_CRM[[#This Row],[Estado]]</f>
        <v>RIO DE JANEIRO/</v>
      </c>
      <c r="O470" s="12">
        <f>IFERROR(IF(Base_CRM[[#This Row],[PL Tailor]]&gt;Base_CRM[[#This Row],[PL Declarado]],1,Base_CRM[[#This Row],[PL Tailor]]/Base_CRM[[#This Row],[PL Declarado]]),0)</f>
        <v>1</v>
      </c>
      <c r="P470" s="11" t="str">
        <f>IF(Base_CRM[[#This Row],[Estado Civil]]="","PESSOA JURÍDICA","PESSOA FÍSICA")</f>
        <v>PESSOA FÍSICA</v>
      </c>
      <c r="Q470" t="str">
        <f>_xlfn.XLOOKUP(Base_CRM[[#This Row],[Cód do Cliente]],'[1]F &amp; O'!$A:$A,'[1]F &amp; O'!$F:$F,_xlfn.XLOOKUP(Base_CRM[[#This Row],[Assessor]],[1]DePara!$A:$A,[1]DePara!$D:$D,"Outros",0,1),0,1)</f>
        <v>Leonardo Burle</v>
      </c>
      <c r="R470" s="11" t="str">
        <f>_xlfn.XLOOKUP(Base_CRM[[#This Row],[Cód do Cliente]],'[1]F &amp; O'!$A:$A,'[1]F &amp; O'!D:D,"Sem Finder",0,1)</f>
        <v>Sem Finder</v>
      </c>
      <c r="S470" s="11" t="str">
        <f>_xlfn.XLOOKUP(Base_CRM[[#This Row],[Cód do Cliente]],'[1]F &amp; O'!$A:$A,'[1]F &amp; O'!E:E,"Sem Canal",0,1)</f>
        <v>Sem Canal</v>
      </c>
      <c r="T470" s="11" t="str">
        <f t="shared" si="7"/>
        <v>Cliente XP</v>
      </c>
    </row>
    <row r="471" spans="1:20" x14ac:dyDescent="0.3">
      <c r="A471">
        <v>480600</v>
      </c>
      <c r="B471" s="8" t="s">
        <v>1086</v>
      </c>
      <c r="C471" s="9" t="s">
        <v>39</v>
      </c>
      <c r="D471" s="8">
        <v>1870769.72</v>
      </c>
      <c r="E471">
        <v>500000000</v>
      </c>
      <c r="F471" t="s">
        <v>22</v>
      </c>
      <c r="G471" t="s">
        <v>87</v>
      </c>
      <c r="H471" s="10">
        <v>33754</v>
      </c>
      <c r="I471" s="10" t="s">
        <v>31</v>
      </c>
      <c r="K471" t="s">
        <v>25</v>
      </c>
      <c r="L471" t="s">
        <v>1087</v>
      </c>
      <c r="N471" s="11" t="str">
        <f>Base_CRM[[#This Row],[Cidade]]&amp;"/"&amp;Base_CRM[[#This Row],[Estado]]</f>
        <v>SAO PAULO/</v>
      </c>
      <c r="O471" s="12">
        <f>IFERROR(IF(Base_CRM[[#This Row],[PL Tailor]]&gt;Base_CRM[[#This Row],[PL Declarado]],1,Base_CRM[[#This Row],[PL Tailor]]/Base_CRM[[#This Row],[PL Declarado]]),0)</f>
        <v>3.7415394399999999E-3</v>
      </c>
      <c r="P471" s="11" t="str">
        <f>IF(Base_CRM[[#This Row],[Estado Civil]]="","PESSOA JURÍDICA","PESSOA FÍSICA")</f>
        <v>PESSOA FÍSICA</v>
      </c>
      <c r="Q471" t="str">
        <f>_xlfn.XLOOKUP(Base_CRM[[#This Row],[Cód do Cliente]],'[1]F &amp; O'!$A:$A,'[1]F &amp; O'!$F:$F,_xlfn.XLOOKUP(Base_CRM[[#This Row],[Assessor]],[1]DePara!$A:$A,[1]DePara!$D:$D,"Outros",0,1),0,1)</f>
        <v>Gestora</v>
      </c>
      <c r="R471" s="11" t="str">
        <f>_xlfn.XLOOKUP(Base_CRM[[#This Row],[Cód do Cliente]],'[1]F &amp; O'!$A:$A,'[1]F &amp; O'!D:D,"Sem Finder",0,1)</f>
        <v>Pedro Chagas</v>
      </c>
      <c r="S471" s="11" t="str">
        <f>_xlfn.XLOOKUP(Base_CRM[[#This Row],[Cód do Cliente]],'[1]F &amp; O'!$A:$A,'[1]F &amp; O'!E:E,"Sem Canal",0,1)</f>
        <v>Gestora</v>
      </c>
      <c r="T471" s="11" t="str">
        <f t="shared" si="7"/>
        <v>Cliente XP</v>
      </c>
    </row>
    <row r="472" spans="1:20" x14ac:dyDescent="0.3">
      <c r="A472">
        <v>481045</v>
      </c>
      <c r="B472" s="8" t="s">
        <v>1088</v>
      </c>
      <c r="C472" s="9" t="s">
        <v>66</v>
      </c>
      <c r="D472" s="8">
        <v>927998.63</v>
      </c>
      <c r="E472">
        <v>1000000</v>
      </c>
      <c r="F472" t="s">
        <v>22</v>
      </c>
      <c r="G472" t="s">
        <v>947</v>
      </c>
      <c r="H472" s="10">
        <v>31787</v>
      </c>
      <c r="I472" s="10" t="s">
        <v>31</v>
      </c>
      <c r="K472" t="s">
        <v>42</v>
      </c>
      <c r="L472" t="s">
        <v>1089</v>
      </c>
      <c r="N472" s="11" t="str">
        <f>Base_CRM[[#This Row],[Cidade]]&amp;"/"&amp;Base_CRM[[#This Row],[Estado]]</f>
        <v>SAO PAULO/</v>
      </c>
      <c r="O472" s="12">
        <f>IFERROR(IF(Base_CRM[[#This Row],[PL Tailor]]&gt;Base_CRM[[#This Row],[PL Declarado]],1,Base_CRM[[#This Row],[PL Tailor]]/Base_CRM[[#This Row],[PL Declarado]]),0)</f>
        <v>0.92799863000000005</v>
      </c>
      <c r="P472" s="11" t="str">
        <f>IF(Base_CRM[[#This Row],[Estado Civil]]="","PESSOA JURÍDICA","PESSOA FÍSICA")</f>
        <v>PESSOA FÍSICA</v>
      </c>
      <c r="Q472" t="str">
        <f>_xlfn.XLOOKUP(Base_CRM[[#This Row],[Cód do Cliente]],'[1]F &amp; O'!$A:$A,'[1]F &amp; O'!$F:$F,_xlfn.XLOOKUP(Base_CRM[[#This Row],[Assessor]],[1]DePara!$A:$A,[1]DePara!$D:$D,"Outros",0,1),0,1)</f>
        <v>Caroline Vlavianos</v>
      </c>
      <c r="R472" s="11" t="str">
        <f>_xlfn.XLOOKUP(Base_CRM[[#This Row],[Cód do Cliente]],'[1]F &amp; O'!$A:$A,'[1]F &amp; O'!D:D,"Sem Finder",0,1)</f>
        <v>Sem Finder</v>
      </c>
      <c r="S472" s="11" t="str">
        <f>_xlfn.XLOOKUP(Base_CRM[[#This Row],[Cód do Cliente]],'[1]F &amp; O'!$A:$A,'[1]F &amp; O'!E:E,"Sem Canal",0,1)</f>
        <v>Sem Canal</v>
      </c>
      <c r="T472" s="11" t="str">
        <f t="shared" si="7"/>
        <v>Cliente XP</v>
      </c>
    </row>
    <row r="473" spans="1:20" x14ac:dyDescent="0.3">
      <c r="A473">
        <v>4841219</v>
      </c>
      <c r="B473" s="8" t="s">
        <v>311</v>
      </c>
      <c r="C473" s="9" t="s">
        <v>39</v>
      </c>
      <c r="D473" s="8">
        <v>1063964.74</v>
      </c>
      <c r="E473">
        <v>5000000</v>
      </c>
      <c r="F473" t="s">
        <v>29</v>
      </c>
      <c r="G473" t="s">
        <v>312</v>
      </c>
      <c r="H473" s="10">
        <v>17833</v>
      </c>
      <c r="I473" s="10" t="s">
        <v>31</v>
      </c>
      <c r="K473" t="s">
        <v>42</v>
      </c>
      <c r="L473" t="s">
        <v>313</v>
      </c>
      <c r="N473" s="11" t="str">
        <f>Base_CRM[[#This Row],[Cidade]]&amp;"/"&amp;Base_CRM[[#This Row],[Estado]]</f>
        <v>SAO PAULO/</v>
      </c>
      <c r="O473" s="12">
        <f>IFERROR(IF(Base_CRM[[#This Row],[PL Tailor]]&gt;Base_CRM[[#This Row],[PL Declarado]],1,Base_CRM[[#This Row],[PL Tailor]]/Base_CRM[[#This Row],[PL Declarado]]),0)</f>
        <v>0.21279294800000001</v>
      </c>
      <c r="P473" s="11" t="str">
        <f>IF(Base_CRM[[#This Row],[Estado Civil]]="","PESSOA JURÍDICA","PESSOA FÍSICA")</f>
        <v>PESSOA FÍSICA</v>
      </c>
      <c r="Q473" t="str">
        <f>_xlfn.XLOOKUP(Base_CRM[[#This Row],[Cód do Cliente]],'[1]F &amp; O'!$A:$A,'[1]F &amp; O'!$F:$F,_xlfn.XLOOKUP(Base_CRM[[#This Row],[Assessor]],[1]DePara!$A:$A,[1]DePara!$D:$D,"Outros",0,1),0,1)</f>
        <v>Gestora</v>
      </c>
      <c r="R473" s="11" t="str">
        <f>_xlfn.XLOOKUP(Base_CRM[[#This Row],[Cód do Cliente]],'[1]F &amp; O'!$A:$A,'[1]F &amp; O'!D:D,"Sem Finder",0,1)</f>
        <v>Pedro Chagas</v>
      </c>
      <c r="S473" s="11" t="str">
        <f>_xlfn.XLOOKUP(Base_CRM[[#This Row],[Cód do Cliente]],'[1]F &amp; O'!$A:$A,'[1]F &amp; O'!E:E,"Sem Canal",0,1)</f>
        <v>Gestora</v>
      </c>
      <c r="T473" s="11" t="str">
        <f t="shared" si="7"/>
        <v>Cliente XP</v>
      </c>
    </row>
    <row r="474" spans="1:20" x14ac:dyDescent="0.3">
      <c r="A474">
        <v>4855746</v>
      </c>
      <c r="B474" s="8" t="s">
        <v>1090</v>
      </c>
      <c r="C474" s="9" t="s">
        <v>48</v>
      </c>
      <c r="D474" s="8">
        <v>3883149.41</v>
      </c>
      <c r="E474">
        <v>1000010</v>
      </c>
      <c r="F474" t="s">
        <v>22</v>
      </c>
      <c r="G474" t="s">
        <v>334</v>
      </c>
      <c r="H474" s="10">
        <v>31667</v>
      </c>
      <c r="I474" s="10" t="s">
        <v>31</v>
      </c>
      <c r="K474" t="s">
        <v>25</v>
      </c>
      <c r="L474" t="s">
        <v>1091</v>
      </c>
      <c r="M474" t="s">
        <v>771</v>
      </c>
      <c r="N474" s="11" t="str">
        <f>Base_CRM[[#This Row],[Cidade]]&amp;"/"&amp;Base_CRM[[#This Row],[Estado]]</f>
        <v>SAO PAULO/</v>
      </c>
      <c r="O474" s="12">
        <f>IFERROR(IF(Base_CRM[[#This Row],[PL Tailor]]&gt;Base_CRM[[#This Row],[PL Declarado]],1,Base_CRM[[#This Row],[PL Tailor]]/Base_CRM[[#This Row],[PL Declarado]]),0)</f>
        <v>1</v>
      </c>
      <c r="P474" s="11" t="str">
        <f>IF(Base_CRM[[#This Row],[Estado Civil]]="","PESSOA JURÍDICA","PESSOA FÍSICA")</f>
        <v>PESSOA FÍSICA</v>
      </c>
      <c r="Q474" t="str">
        <f>_xlfn.XLOOKUP(Base_CRM[[#This Row],[Cód do Cliente]],'[1]F &amp; O'!$A:$A,'[1]F &amp; O'!$F:$F,_xlfn.XLOOKUP(Base_CRM[[#This Row],[Assessor]],[1]DePara!$A:$A,[1]DePara!$D:$D,"Outros",0,1),0,1)</f>
        <v>Raphael Farias</v>
      </c>
      <c r="R474" s="11" t="str">
        <f>_xlfn.XLOOKUP(Base_CRM[[#This Row],[Cód do Cliente]],'[1]F &amp; O'!$A:$A,'[1]F &amp; O'!D:D,"Sem Finder",0,1)</f>
        <v>Sem Finder</v>
      </c>
      <c r="S474" s="11" t="str">
        <f>_xlfn.XLOOKUP(Base_CRM[[#This Row],[Cód do Cliente]],'[1]F &amp; O'!$A:$A,'[1]F &amp; O'!E:E,"Sem Canal",0,1)</f>
        <v>Sem Canal</v>
      </c>
      <c r="T474" s="11" t="str">
        <f t="shared" si="7"/>
        <v>Cliente XP</v>
      </c>
    </row>
    <row r="475" spans="1:20" x14ac:dyDescent="0.3">
      <c r="A475">
        <v>4858724</v>
      </c>
      <c r="B475" s="8" t="s">
        <v>1092</v>
      </c>
      <c r="C475" s="9" t="s">
        <v>74</v>
      </c>
      <c r="D475" s="8">
        <v>57.37</v>
      </c>
      <c r="E475">
        <v>200000</v>
      </c>
      <c r="F475" t="s">
        <v>22</v>
      </c>
      <c r="G475" t="s">
        <v>1093</v>
      </c>
      <c r="H475" s="10">
        <v>29754</v>
      </c>
      <c r="I475" s="10" t="s">
        <v>84</v>
      </c>
      <c r="K475" t="s">
        <v>68</v>
      </c>
      <c r="L475" t="s">
        <v>1094</v>
      </c>
      <c r="M475" t="s">
        <v>77</v>
      </c>
      <c r="N475" s="11" t="str">
        <f>Base_CRM[[#This Row],[Cidade]]&amp;"/"&amp;Base_CRM[[#This Row],[Estado]]</f>
        <v>NITEROI/</v>
      </c>
      <c r="O475" s="12">
        <f>IFERROR(IF(Base_CRM[[#This Row],[PL Tailor]]&gt;Base_CRM[[#This Row],[PL Declarado]],1,Base_CRM[[#This Row],[PL Tailor]]/Base_CRM[[#This Row],[PL Declarado]]),0)</f>
        <v>2.8685000000000001E-4</v>
      </c>
      <c r="P475" s="11" t="str">
        <f>IF(Base_CRM[[#This Row],[Estado Civil]]="","PESSOA JURÍDICA","PESSOA FÍSICA")</f>
        <v>PESSOA FÍSICA</v>
      </c>
      <c r="Q475" t="str">
        <f>_xlfn.XLOOKUP(Base_CRM[[#This Row],[Cód do Cliente]],'[1]F &amp; O'!$A:$A,'[1]F &amp; O'!$F:$F,_xlfn.XLOOKUP(Base_CRM[[#This Row],[Assessor]],[1]DePara!$A:$A,[1]DePara!$D:$D,"Outros",0,1),0,1)</f>
        <v>Thayane Freitas</v>
      </c>
      <c r="R475" s="11" t="str">
        <f>_xlfn.XLOOKUP(Base_CRM[[#This Row],[Cód do Cliente]],'[1]F &amp; O'!$A:$A,'[1]F &amp; O'!D:D,"Sem Finder",0,1)</f>
        <v>Sem Finder</v>
      </c>
      <c r="S475" s="11" t="str">
        <f>_xlfn.XLOOKUP(Base_CRM[[#This Row],[Cód do Cliente]],'[1]F &amp; O'!$A:$A,'[1]F &amp; O'!E:E,"Sem Canal",0,1)</f>
        <v>Sem Canal</v>
      </c>
      <c r="T475" s="11" t="str">
        <f t="shared" si="7"/>
        <v>Cliente XP</v>
      </c>
    </row>
    <row r="476" spans="1:20" x14ac:dyDescent="0.3">
      <c r="A476">
        <v>4871362</v>
      </c>
      <c r="B476" s="8" t="s">
        <v>1095</v>
      </c>
      <c r="C476" s="9" t="s">
        <v>34</v>
      </c>
      <c r="D476" s="8">
        <v>0</v>
      </c>
      <c r="E476">
        <v>500000</v>
      </c>
      <c r="F476" t="s">
        <v>29</v>
      </c>
      <c r="G476" t="s">
        <v>67</v>
      </c>
      <c r="H476" s="10">
        <v>28293</v>
      </c>
      <c r="I476" s="10" t="s">
        <v>31</v>
      </c>
      <c r="K476" t="s">
        <v>42</v>
      </c>
      <c r="L476" t="s">
        <v>1096</v>
      </c>
      <c r="N476" s="11" t="str">
        <f>Base_CRM[[#This Row],[Cidade]]&amp;"/"&amp;Base_CRM[[#This Row],[Estado]]</f>
        <v>SAO PAULO/</v>
      </c>
      <c r="O476" s="12">
        <f>IFERROR(IF(Base_CRM[[#This Row],[PL Tailor]]&gt;Base_CRM[[#This Row],[PL Declarado]],1,Base_CRM[[#This Row],[PL Tailor]]/Base_CRM[[#This Row],[PL Declarado]]),0)</f>
        <v>0</v>
      </c>
      <c r="P476" s="11" t="str">
        <f>IF(Base_CRM[[#This Row],[Estado Civil]]="","PESSOA JURÍDICA","PESSOA FÍSICA")</f>
        <v>PESSOA FÍSICA</v>
      </c>
      <c r="Q476" t="str">
        <f>_xlfn.XLOOKUP(Base_CRM[[#This Row],[Cód do Cliente]],'[1]F &amp; O'!$A:$A,'[1]F &amp; O'!$F:$F,_xlfn.XLOOKUP(Base_CRM[[#This Row],[Assessor]],[1]DePara!$A:$A,[1]DePara!$D:$D,"Outros",0,1),0,1)</f>
        <v>Adonias Noronha</v>
      </c>
      <c r="R476" s="11" t="str">
        <f>_xlfn.XLOOKUP(Base_CRM[[#This Row],[Cód do Cliente]],'[1]F &amp; O'!$A:$A,'[1]F &amp; O'!D:D,"Sem Finder",0,1)</f>
        <v>Sem Finder</v>
      </c>
      <c r="S476" s="11" t="str">
        <f>_xlfn.XLOOKUP(Base_CRM[[#This Row],[Cód do Cliente]],'[1]F &amp; O'!$A:$A,'[1]F &amp; O'!E:E,"Sem Canal",0,1)</f>
        <v>Sem Canal</v>
      </c>
      <c r="T476" s="11" t="str">
        <f t="shared" si="7"/>
        <v>Cliente XP</v>
      </c>
    </row>
    <row r="477" spans="1:20" x14ac:dyDescent="0.3">
      <c r="A477">
        <v>489524</v>
      </c>
      <c r="B477" s="8" t="s">
        <v>1097</v>
      </c>
      <c r="C477" s="9" t="s">
        <v>48</v>
      </c>
      <c r="D477" s="8">
        <v>0</v>
      </c>
      <c r="E477">
        <v>1000000</v>
      </c>
      <c r="F477" t="s">
        <v>22</v>
      </c>
      <c r="G477" t="s">
        <v>291</v>
      </c>
      <c r="H477" s="10">
        <v>33658</v>
      </c>
      <c r="I477" s="10" t="s">
        <v>24</v>
      </c>
      <c r="K477" t="s">
        <v>25</v>
      </c>
      <c r="L477" t="s">
        <v>1098</v>
      </c>
      <c r="N477" s="11" t="str">
        <f>Base_CRM[[#This Row],[Cidade]]&amp;"/"&amp;Base_CRM[[#This Row],[Estado]]</f>
        <v>RIO DE JANEIRO/</v>
      </c>
      <c r="O477" s="12">
        <f>IFERROR(IF(Base_CRM[[#This Row],[PL Tailor]]&gt;Base_CRM[[#This Row],[PL Declarado]],1,Base_CRM[[#This Row],[PL Tailor]]/Base_CRM[[#This Row],[PL Declarado]]),0)</f>
        <v>0</v>
      </c>
      <c r="P477" s="11" t="str">
        <f>IF(Base_CRM[[#This Row],[Estado Civil]]="","PESSOA JURÍDICA","PESSOA FÍSICA")</f>
        <v>PESSOA FÍSICA</v>
      </c>
      <c r="Q477" t="str">
        <f>_xlfn.XLOOKUP(Base_CRM[[#This Row],[Cód do Cliente]],'[1]F &amp; O'!$A:$A,'[1]F &amp; O'!$F:$F,_xlfn.XLOOKUP(Base_CRM[[#This Row],[Assessor]],[1]DePara!$A:$A,[1]DePara!$D:$D,"Outros",0,1),0,1)</f>
        <v>Raphael Farias</v>
      </c>
      <c r="R477" s="11" t="str">
        <f>_xlfn.XLOOKUP(Base_CRM[[#This Row],[Cód do Cliente]],'[1]F &amp; O'!$A:$A,'[1]F &amp; O'!D:D,"Sem Finder",0,1)</f>
        <v>Sem Finder</v>
      </c>
      <c r="S477" s="11" t="str">
        <f>_xlfn.XLOOKUP(Base_CRM[[#This Row],[Cód do Cliente]],'[1]F &amp; O'!$A:$A,'[1]F &amp; O'!E:E,"Sem Canal",0,1)</f>
        <v>Sem Canal</v>
      </c>
      <c r="T477" s="11" t="str">
        <f t="shared" si="7"/>
        <v>Cliente XP</v>
      </c>
    </row>
    <row r="478" spans="1:20" x14ac:dyDescent="0.3">
      <c r="A478">
        <v>4898715</v>
      </c>
      <c r="B478" s="8" t="s">
        <v>1099</v>
      </c>
      <c r="C478" s="9" t="s">
        <v>21</v>
      </c>
      <c r="D478" s="8">
        <v>1408530.09</v>
      </c>
      <c r="E478">
        <v>1700000</v>
      </c>
      <c r="F478" t="s">
        <v>22</v>
      </c>
      <c r="H478" s="10">
        <v>20436</v>
      </c>
      <c r="I478" s="10" t="s">
        <v>24</v>
      </c>
      <c r="K478" t="s">
        <v>25</v>
      </c>
      <c r="L478" t="s">
        <v>1100</v>
      </c>
      <c r="M478" t="s">
        <v>1101</v>
      </c>
      <c r="N478" s="11" t="str">
        <f>Base_CRM[[#This Row],[Cidade]]&amp;"/"&amp;Base_CRM[[#This Row],[Estado]]</f>
        <v>RIO DE JANEIRO/</v>
      </c>
      <c r="O478" s="12">
        <f>IFERROR(IF(Base_CRM[[#This Row],[PL Tailor]]&gt;Base_CRM[[#This Row],[PL Declarado]],1,Base_CRM[[#This Row],[PL Tailor]]/Base_CRM[[#This Row],[PL Declarado]]),0)</f>
        <v>0.82854711176470597</v>
      </c>
      <c r="P478" s="11" t="str">
        <f>IF(Base_CRM[[#This Row],[Estado Civil]]="","PESSOA JURÍDICA","PESSOA FÍSICA")</f>
        <v>PESSOA FÍSICA</v>
      </c>
      <c r="Q478" t="str">
        <f>_xlfn.XLOOKUP(Base_CRM[[#This Row],[Cód do Cliente]],'[1]F &amp; O'!$A:$A,'[1]F &amp; O'!$F:$F,_xlfn.XLOOKUP(Base_CRM[[#This Row],[Assessor]],[1]DePara!$A:$A,[1]DePara!$D:$D,"Outros",0,1),0,1)</f>
        <v>Leonardo Burle</v>
      </c>
      <c r="R478" s="11" t="str">
        <f>_xlfn.XLOOKUP(Base_CRM[[#This Row],[Cód do Cliente]],'[1]F &amp; O'!$A:$A,'[1]F &amp; O'!D:D,"Sem Finder",0,1)</f>
        <v>Sem Finder</v>
      </c>
      <c r="S478" s="11" t="str">
        <f>_xlfn.XLOOKUP(Base_CRM[[#This Row],[Cód do Cliente]],'[1]F &amp; O'!$A:$A,'[1]F &amp; O'!E:E,"Sem Canal",0,1)</f>
        <v>Sem Canal</v>
      </c>
      <c r="T478" s="11" t="str">
        <f t="shared" si="7"/>
        <v>Cliente XP</v>
      </c>
    </row>
    <row r="479" spans="1:20" x14ac:dyDescent="0.3">
      <c r="A479">
        <v>490473</v>
      </c>
      <c r="B479" s="8" t="s">
        <v>1102</v>
      </c>
      <c r="C479" s="9" t="s">
        <v>21</v>
      </c>
      <c r="D479" s="8">
        <v>7204094.8300000001</v>
      </c>
      <c r="E479">
        <v>2000000</v>
      </c>
      <c r="F479" t="s">
        <v>22</v>
      </c>
      <c r="G479" t="s">
        <v>96</v>
      </c>
      <c r="H479" s="10">
        <v>24371</v>
      </c>
      <c r="I479" s="10" t="s">
        <v>24</v>
      </c>
      <c r="K479" t="s">
        <v>104</v>
      </c>
      <c r="L479" t="s">
        <v>1103</v>
      </c>
      <c r="M479" t="s">
        <v>64</v>
      </c>
      <c r="N479" s="11" t="str">
        <f>Base_CRM[[#This Row],[Cidade]]&amp;"/"&amp;Base_CRM[[#This Row],[Estado]]</f>
        <v>RIO DE JANEIRO/</v>
      </c>
      <c r="O479" s="12">
        <f>IFERROR(IF(Base_CRM[[#This Row],[PL Tailor]]&gt;Base_CRM[[#This Row],[PL Declarado]],1,Base_CRM[[#This Row],[PL Tailor]]/Base_CRM[[#This Row],[PL Declarado]]),0)</f>
        <v>1</v>
      </c>
      <c r="P479" s="11" t="str">
        <f>IF(Base_CRM[[#This Row],[Estado Civil]]="","PESSOA JURÍDICA","PESSOA FÍSICA")</f>
        <v>PESSOA FÍSICA</v>
      </c>
      <c r="Q479" t="str">
        <f>_xlfn.XLOOKUP(Base_CRM[[#This Row],[Cód do Cliente]],'[1]F &amp; O'!$A:$A,'[1]F &amp; O'!$F:$F,_xlfn.XLOOKUP(Base_CRM[[#This Row],[Assessor]],[1]DePara!$A:$A,[1]DePara!$D:$D,"Outros",0,1),0,1)</f>
        <v>Leonardo Burle</v>
      </c>
      <c r="R479" s="11" t="str">
        <f>_xlfn.XLOOKUP(Base_CRM[[#This Row],[Cód do Cliente]],'[1]F &amp; O'!$A:$A,'[1]F &amp; O'!D:D,"Sem Finder",0,1)</f>
        <v>Sem Finder</v>
      </c>
      <c r="S479" s="11" t="str">
        <f>_xlfn.XLOOKUP(Base_CRM[[#This Row],[Cód do Cliente]],'[1]F &amp; O'!$A:$A,'[1]F &amp; O'!E:E,"Sem Canal",0,1)</f>
        <v>Sem Canal</v>
      </c>
      <c r="T479" s="11" t="str">
        <f t="shared" si="7"/>
        <v>Cliente XP</v>
      </c>
    </row>
    <row r="480" spans="1:20" x14ac:dyDescent="0.3">
      <c r="A480">
        <v>490946</v>
      </c>
      <c r="B480" s="8" t="s">
        <v>1104</v>
      </c>
      <c r="C480" s="9" t="s">
        <v>34</v>
      </c>
      <c r="D480" s="8">
        <v>822135.98</v>
      </c>
      <c r="E480">
        <v>100000</v>
      </c>
      <c r="F480" t="s">
        <v>22</v>
      </c>
      <c r="G480" t="s">
        <v>35</v>
      </c>
      <c r="H480" s="10">
        <v>27605</v>
      </c>
      <c r="I480" s="10" t="s">
        <v>31</v>
      </c>
      <c r="K480" t="s">
        <v>42</v>
      </c>
      <c r="L480" t="s">
        <v>1105</v>
      </c>
      <c r="M480" t="s">
        <v>1106</v>
      </c>
      <c r="N480" s="11" t="str">
        <f>Base_CRM[[#This Row],[Cidade]]&amp;"/"&amp;Base_CRM[[#This Row],[Estado]]</f>
        <v>SAO PAULO/</v>
      </c>
      <c r="O480" s="12">
        <f>IFERROR(IF(Base_CRM[[#This Row],[PL Tailor]]&gt;Base_CRM[[#This Row],[PL Declarado]],1,Base_CRM[[#This Row],[PL Tailor]]/Base_CRM[[#This Row],[PL Declarado]]),0)</f>
        <v>1</v>
      </c>
      <c r="P480" s="11" t="str">
        <f>IF(Base_CRM[[#This Row],[Estado Civil]]="","PESSOA JURÍDICA","PESSOA FÍSICA")</f>
        <v>PESSOA FÍSICA</v>
      </c>
      <c r="Q480" t="str">
        <f>_xlfn.XLOOKUP(Base_CRM[[#This Row],[Cód do Cliente]],'[1]F &amp; O'!$A:$A,'[1]F &amp; O'!$F:$F,_xlfn.XLOOKUP(Base_CRM[[#This Row],[Assessor]],[1]DePara!$A:$A,[1]DePara!$D:$D,"Outros",0,1),0,1)</f>
        <v>Adonias Noronha</v>
      </c>
      <c r="R480" s="11" t="str">
        <f>_xlfn.XLOOKUP(Base_CRM[[#This Row],[Cód do Cliente]],'[1]F &amp; O'!$A:$A,'[1]F &amp; O'!D:D,"Sem Finder",0,1)</f>
        <v>Sem Finder</v>
      </c>
      <c r="S480" s="11" t="str">
        <f>_xlfn.XLOOKUP(Base_CRM[[#This Row],[Cód do Cliente]],'[1]F &amp; O'!$A:$A,'[1]F &amp; O'!E:E,"Sem Canal",0,1)</f>
        <v>Sem Canal</v>
      </c>
      <c r="T480" s="11" t="str">
        <f t="shared" si="7"/>
        <v>Cliente XP</v>
      </c>
    </row>
    <row r="481" spans="1:20" x14ac:dyDescent="0.3">
      <c r="A481">
        <v>4929019</v>
      </c>
      <c r="B481" s="8" t="s">
        <v>1107</v>
      </c>
      <c r="C481" s="9" t="s">
        <v>21</v>
      </c>
      <c r="D481" s="8">
        <v>1932538.42</v>
      </c>
      <c r="E481">
        <v>1200000</v>
      </c>
      <c r="F481" t="s">
        <v>22</v>
      </c>
      <c r="G481" t="s">
        <v>23</v>
      </c>
      <c r="H481" s="10">
        <v>26809</v>
      </c>
      <c r="I481" s="10" t="s">
        <v>24</v>
      </c>
      <c r="K481" t="s">
        <v>42</v>
      </c>
      <c r="L481" t="s">
        <v>1108</v>
      </c>
      <c r="M481" t="s">
        <v>64</v>
      </c>
      <c r="N481" s="11" t="str">
        <f>Base_CRM[[#This Row],[Cidade]]&amp;"/"&amp;Base_CRM[[#This Row],[Estado]]</f>
        <v>RIO DE JANEIRO/</v>
      </c>
      <c r="O481" s="12">
        <f>IFERROR(IF(Base_CRM[[#This Row],[PL Tailor]]&gt;Base_CRM[[#This Row],[PL Declarado]],1,Base_CRM[[#This Row],[PL Tailor]]/Base_CRM[[#This Row],[PL Declarado]]),0)</f>
        <v>1</v>
      </c>
      <c r="P481" s="11" t="str">
        <f>IF(Base_CRM[[#This Row],[Estado Civil]]="","PESSOA JURÍDICA","PESSOA FÍSICA")</f>
        <v>PESSOA FÍSICA</v>
      </c>
      <c r="Q481" t="str">
        <f>_xlfn.XLOOKUP(Base_CRM[[#This Row],[Cód do Cliente]],'[1]F &amp; O'!$A:$A,'[1]F &amp; O'!$F:$F,_xlfn.XLOOKUP(Base_CRM[[#This Row],[Assessor]],[1]DePara!$A:$A,[1]DePara!$D:$D,"Outros",0,1),0,1)</f>
        <v>Leonardo Burle</v>
      </c>
      <c r="R481" s="11" t="str">
        <f>_xlfn.XLOOKUP(Base_CRM[[#This Row],[Cód do Cliente]],'[1]F &amp; O'!$A:$A,'[1]F &amp; O'!D:D,"Sem Finder",0,1)</f>
        <v>Sem Finder</v>
      </c>
      <c r="S481" s="11" t="str">
        <f>_xlfn.XLOOKUP(Base_CRM[[#This Row],[Cód do Cliente]],'[1]F &amp; O'!$A:$A,'[1]F &amp; O'!E:E,"Sem Canal",0,1)</f>
        <v>Sem Canal</v>
      </c>
      <c r="T481" s="11" t="str">
        <f t="shared" si="7"/>
        <v>Cliente XP</v>
      </c>
    </row>
    <row r="482" spans="1:20" x14ac:dyDescent="0.3">
      <c r="A482">
        <v>4947548</v>
      </c>
      <c r="B482" s="8" t="s">
        <v>1109</v>
      </c>
      <c r="C482" s="9" t="s">
        <v>74</v>
      </c>
      <c r="D482" s="8">
        <v>0</v>
      </c>
      <c r="E482">
        <v>35000</v>
      </c>
      <c r="F482" t="s">
        <v>22</v>
      </c>
      <c r="G482" t="s">
        <v>96</v>
      </c>
      <c r="H482" s="10">
        <v>29822</v>
      </c>
      <c r="I482" s="10" t="s">
        <v>24</v>
      </c>
      <c r="K482" t="s">
        <v>25</v>
      </c>
      <c r="L482" t="s">
        <v>1110</v>
      </c>
      <c r="N482" s="11" t="str">
        <f>Base_CRM[[#This Row],[Cidade]]&amp;"/"&amp;Base_CRM[[#This Row],[Estado]]</f>
        <v>RIO DE JANEIRO/</v>
      </c>
      <c r="O482" s="12">
        <f>IFERROR(IF(Base_CRM[[#This Row],[PL Tailor]]&gt;Base_CRM[[#This Row],[PL Declarado]],1,Base_CRM[[#This Row],[PL Tailor]]/Base_CRM[[#This Row],[PL Declarado]]),0)</f>
        <v>0</v>
      </c>
      <c r="P482" s="11" t="str">
        <f>IF(Base_CRM[[#This Row],[Estado Civil]]="","PESSOA JURÍDICA","PESSOA FÍSICA")</f>
        <v>PESSOA FÍSICA</v>
      </c>
      <c r="Q482" t="str">
        <f>_xlfn.XLOOKUP(Base_CRM[[#This Row],[Cód do Cliente]],'[1]F &amp; O'!$A:$A,'[1]F &amp; O'!$F:$F,_xlfn.XLOOKUP(Base_CRM[[#This Row],[Assessor]],[1]DePara!$A:$A,[1]DePara!$D:$D,"Outros",0,1),0,1)</f>
        <v>Thayane Freitas</v>
      </c>
      <c r="R482" s="11" t="str">
        <f>_xlfn.XLOOKUP(Base_CRM[[#This Row],[Cód do Cliente]],'[1]F &amp; O'!$A:$A,'[1]F &amp; O'!D:D,"Sem Finder",0,1)</f>
        <v>Sem Finder</v>
      </c>
      <c r="S482" s="11" t="str">
        <f>_xlfn.XLOOKUP(Base_CRM[[#This Row],[Cód do Cliente]],'[1]F &amp; O'!$A:$A,'[1]F &amp; O'!E:E,"Sem Canal",0,1)</f>
        <v>Sem Canal</v>
      </c>
      <c r="T482" s="11" t="str">
        <f t="shared" si="7"/>
        <v>Cliente XP</v>
      </c>
    </row>
    <row r="483" spans="1:20" x14ac:dyDescent="0.3">
      <c r="A483">
        <v>4959768</v>
      </c>
      <c r="B483" s="8" t="s">
        <v>1111</v>
      </c>
      <c r="C483" s="9" t="s">
        <v>48</v>
      </c>
      <c r="D483" s="8">
        <v>365226.55</v>
      </c>
      <c r="E483">
        <v>500000</v>
      </c>
      <c r="F483" t="s">
        <v>22</v>
      </c>
      <c r="G483" t="s">
        <v>45</v>
      </c>
      <c r="H483" s="10">
        <v>41697</v>
      </c>
      <c r="I483" s="10" t="s">
        <v>962</v>
      </c>
      <c r="K483" t="s">
        <v>25</v>
      </c>
      <c r="L483" t="s">
        <v>1112</v>
      </c>
      <c r="N483" s="11" t="str">
        <f>Base_CRM[[#This Row],[Cidade]]&amp;"/"&amp;Base_CRM[[#This Row],[Estado]]</f>
        <v>COLOMBO/</v>
      </c>
      <c r="O483" s="12">
        <f>IFERROR(IF(Base_CRM[[#This Row],[PL Tailor]]&gt;Base_CRM[[#This Row],[PL Declarado]],1,Base_CRM[[#This Row],[PL Tailor]]/Base_CRM[[#This Row],[PL Declarado]]),0)</f>
        <v>0.73045309999999997</v>
      </c>
      <c r="P483" s="11" t="str">
        <f>IF(Base_CRM[[#This Row],[Estado Civil]]="","PESSOA JURÍDICA","PESSOA FÍSICA")</f>
        <v>PESSOA FÍSICA</v>
      </c>
      <c r="Q483" t="str">
        <f>_xlfn.XLOOKUP(Base_CRM[[#This Row],[Cód do Cliente]],'[1]F &amp; O'!$A:$A,'[1]F &amp; O'!$F:$F,_xlfn.XLOOKUP(Base_CRM[[#This Row],[Assessor]],[1]DePara!$A:$A,[1]DePara!$D:$D,"Outros",0,1),0,1)</f>
        <v>Raphael Farias</v>
      </c>
      <c r="R483" s="11" t="str">
        <f>_xlfn.XLOOKUP(Base_CRM[[#This Row],[Cód do Cliente]],'[1]F &amp; O'!$A:$A,'[1]F &amp; O'!D:D,"Sem Finder",0,1)</f>
        <v>Sem Finder</v>
      </c>
      <c r="S483" s="11" t="str">
        <f>_xlfn.XLOOKUP(Base_CRM[[#This Row],[Cód do Cliente]],'[1]F &amp; O'!$A:$A,'[1]F &amp; O'!E:E,"Sem Canal",0,1)</f>
        <v>Sem Canal</v>
      </c>
      <c r="T483" s="11" t="str">
        <f t="shared" si="7"/>
        <v>Cliente XP</v>
      </c>
    </row>
    <row r="484" spans="1:20" x14ac:dyDescent="0.3">
      <c r="A484">
        <v>4965582</v>
      </c>
      <c r="B484" s="8" t="s">
        <v>1113</v>
      </c>
      <c r="C484" s="9" t="s">
        <v>74</v>
      </c>
      <c r="D484" s="8">
        <v>0</v>
      </c>
      <c r="E484">
        <v>17000</v>
      </c>
      <c r="F484" t="s">
        <v>92</v>
      </c>
      <c r="G484" t="s">
        <v>35</v>
      </c>
      <c r="H484" s="10">
        <v>35639</v>
      </c>
      <c r="I484" s="10" t="s">
        <v>781</v>
      </c>
      <c r="K484" t="s">
        <v>42</v>
      </c>
      <c r="L484" t="s">
        <v>1114</v>
      </c>
      <c r="N484" s="11" t="str">
        <f>Base_CRM[[#This Row],[Cidade]]&amp;"/"&amp;Base_CRM[[#This Row],[Estado]]</f>
        <v>SANTO ANDRE/</v>
      </c>
      <c r="O484" s="12">
        <f>IFERROR(IF(Base_CRM[[#This Row],[PL Tailor]]&gt;Base_CRM[[#This Row],[PL Declarado]],1,Base_CRM[[#This Row],[PL Tailor]]/Base_CRM[[#This Row],[PL Declarado]]),0)</f>
        <v>0</v>
      </c>
      <c r="P484" s="11" t="str">
        <f>IF(Base_CRM[[#This Row],[Estado Civil]]="","PESSOA JURÍDICA","PESSOA FÍSICA")</f>
        <v>PESSOA FÍSICA</v>
      </c>
      <c r="Q484" t="str">
        <f>_xlfn.XLOOKUP(Base_CRM[[#This Row],[Cód do Cliente]],'[1]F &amp; O'!$A:$A,'[1]F &amp; O'!$F:$F,_xlfn.XLOOKUP(Base_CRM[[#This Row],[Assessor]],[1]DePara!$A:$A,[1]DePara!$D:$D,"Outros",0,1),0,1)</f>
        <v>Thayane Freitas</v>
      </c>
      <c r="R484" s="11" t="str">
        <f>_xlfn.XLOOKUP(Base_CRM[[#This Row],[Cód do Cliente]],'[1]F &amp; O'!$A:$A,'[1]F &amp; O'!D:D,"Sem Finder",0,1)</f>
        <v>Sem Finder</v>
      </c>
      <c r="S484" s="11" t="str">
        <f>_xlfn.XLOOKUP(Base_CRM[[#This Row],[Cód do Cliente]],'[1]F &amp; O'!$A:$A,'[1]F &amp; O'!E:E,"Sem Canal",0,1)</f>
        <v>Sem Canal</v>
      </c>
      <c r="T484" s="11" t="str">
        <f t="shared" si="7"/>
        <v>Cliente XP</v>
      </c>
    </row>
    <row r="485" spans="1:20" x14ac:dyDescent="0.3">
      <c r="A485">
        <v>5083988</v>
      </c>
      <c r="B485" s="8" t="s">
        <v>799</v>
      </c>
      <c r="C485" s="9" t="s">
        <v>39</v>
      </c>
      <c r="D485" s="8">
        <v>0</v>
      </c>
      <c r="E485">
        <v>30000</v>
      </c>
      <c r="F485" t="s">
        <v>22</v>
      </c>
      <c r="G485" t="s">
        <v>87</v>
      </c>
      <c r="H485" s="10">
        <v>26867</v>
      </c>
      <c r="I485" s="10" t="s">
        <v>285</v>
      </c>
      <c r="K485" t="s">
        <v>42</v>
      </c>
      <c r="L485" t="s">
        <v>800</v>
      </c>
      <c r="N485" s="11" t="str">
        <f>Base_CRM[[#This Row],[Cidade]]&amp;"/"&amp;Base_CRM[[#This Row],[Estado]]</f>
        <v>SANTANA DE PARNAIBA/</v>
      </c>
      <c r="O485" s="12">
        <f>IFERROR(IF(Base_CRM[[#This Row],[PL Tailor]]&gt;Base_CRM[[#This Row],[PL Declarado]],1,Base_CRM[[#This Row],[PL Tailor]]/Base_CRM[[#This Row],[PL Declarado]]),0)</f>
        <v>0</v>
      </c>
      <c r="P485" s="11" t="str">
        <f>IF(Base_CRM[[#This Row],[Estado Civil]]="","PESSOA JURÍDICA","PESSOA FÍSICA")</f>
        <v>PESSOA FÍSICA</v>
      </c>
      <c r="Q485" t="str">
        <f>_xlfn.XLOOKUP(Base_CRM[[#This Row],[Cód do Cliente]],'[1]F &amp; O'!$A:$A,'[1]F &amp; O'!$F:$F,_xlfn.XLOOKUP(Base_CRM[[#This Row],[Assessor]],[1]DePara!$A:$A,[1]DePara!$D:$D,"Outros",0,1),0,1)</f>
        <v>Vinicius Bendela</v>
      </c>
      <c r="R485" s="11" t="str">
        <f>_xlfn.XLOOKUP(Base_CRM[[#This Row],[Cód do Cliente]],'[1]F &amp; O'!$A:$A,'[1]F &amp; O'!D:D,"Sem Finder",0,1)</f>
        <v>Sem Finder</v>
      </c>
      <c r="S485" s="11" t="str">
        <f>_xlfn.XLOOKUP(Base_CRM[[#This Row],[Cód do Cliente]],'[1]F &amp; O'!$A:$A,'[1]F &amp; O'!E:E,"Sem Canal",0,1)</f>
        <v>Sem Canal</v>
      </c>
      <c r="T485" s="11" t="str">
        <f t="shared" si="7"/>
        <v>Cliente XP</v>
      </c>
    </row>
    <row r="486" spans="1:20" x14ac:dyDescent="0.3">
      <c r="A486">
        <v>509403</v>
      </c>
      <c r="B486" s="8" t="s">
        <v>1115</v>
      </c>
      <c r="C486" s="9" t="s">
        <v>74</v>
      </c>
      <c r="D486" s="8">
        <v>26469.29</v>
      </c>
      <c r="E486">
        <v>20000</v>
      </c>
      <c r="F486" t="s">
        <v>29</v>
      </c>
      <c r="G486" t="s">
        <v>87</v>
      </c>
      <c r="H486" s="10">
        <v>32492</v>
      </c>
      <c r="I486" s="10" t="s">
        <v>24</v>
      </c>
      <c r="K486" t="s">
        <v>25</v>
      </c>
      <c r="L486" t="s">
        <v>1116</v>
      </c>
      <c r="N486" s="11" t="str">
        <f>Base_CRM[[#This Row],[Cidade]]&amp;"/"&amp;Base_CRM[[#This Row],[Estado]]</f>
        <v>RIO DE JANEIRO/</v>
      </c>
      <c r="O486" s="12">
        <f>IFERROR(IF(Base_CRM[[#This Row],[PL Tailor]]&gt;Base_CRM[[#This Row],[PL Declarado]],1,Base_CRM[[#This Row],[PL Tailor]]/Base_CRM[[#This Row],[PL Declarado]]),0)</f>
        <v>1</v>
      </c>
      <c r="P486" s="11" t="str">
        <f>IF(Base_CRM[[#This Row],[Estado Civil]]="","PESSOA JURÍDICA","PESSOA FÍSICA")</f>
        <v>PESSOA FÍSICA</v>
      </c>
      <c r="Q486" t="str">
        <f>_xlfn.XLOOKUP(Base_CRM[[#This Row],[Cód do Cliente]],'[1]F &amp; O'!$A:$A,'[1]F &amp; O'!$F:$F,_xlfn.XLOOKUP(Base_CRM[[#This Row],[Assessor]],[1]DePara!$A:$A,[1]DePara!$D:$D,"Outros",0,1),0,1)</f>
        <v>Thayane Freitas</v>
      </c>
      <c r="R486" s="11" t="str">
        <f>_xlfn.XLOOKUP(Base_CRM[[#This Row],[Cód do Cliente]],'[1]F &amp; O'!$A:$A,'[1]F &amp; O'!D:D,"Sem Finder",0,1)</f>
        <v>Sem Finder</v>
      </c>
      <c r="S486" s="11" t="str">
        <f>_xlfn.XLOOKUP(Base_CRM[[#This Row],[Cód do Cliente]],'[1]F &amp; O'!$A:$A,'[1]F &amp; O'!E:E,"Sem Canal",0,1)</f>
        <v>Sem Canal</v>
      </c>
      <c r="T486" s="11" t="str">
        <f t="shared" si="7"/>
        <v>Cliente XP</v>
      </c>
    </row>
    <row r="487" spans="1:20" x14ac:dyDescent="0.3">
      <c r="A487">
        <v>5098228</v>
      </c>
      <c r="B487" s="8" t="s">
        <v>1117</v>
      </c>
      <c r="C487" s="9" t="s">
        <v>34</v>
      </c>
      <c r="D487" s="8">
        <v>620332.61</v>
      </c>
      <c r="E487">
        <v>1</v>
      </c>
      <c r="F487" t="s">
        <v>29</v>
      </c>
      <c r="H487" s="10">
        <v>27291</v>
      </c>
      <c r="I487" s="10" t="s">
        <v>24</v>
      </c>
      <c r="K487" t="s">
        <v>25</v>
      </c>
      <c r="L487" t="s">
        <v>1118</v>
      </c>
      <c r="N487" s="11" t="str">
        <f>Base_CRM[[#This Row],[Cidade]]&amp;"/"&amp;Base_CRM[[#This Row],[Estado]]</f>
        <v>RIO DE JANEIRO/</v>
      </c>
      <c r="O487" s="12">
        <f>IFERROR(IF(Base_CRM[[#This Row],[PL Tailor]]&gt;Base_CRM[[#This Row],[PL Declarado]],1,Base_CRM[[#This Row],[PL Tailor]]/Base_CRM[[#This Row],[PL Declarado]]),0)</f>
        <v>1</v>
      </c>
      <c r="P487" s="11" t="str">
        <f>IF(Base_CRM[[#This Row],[Estado Civil]]="","PESSOA JURÍDICA","PESSOA FÍSICA")</f>
        <v>PESSOA FÍSICA</v>
      </c>
      <c r="Q487" t="str">
        <f>_xlfn.XLOOKUP(Base_CRM[[#This Row],[Cód do Cliente]],'[1]F &amp; O'!$A:$A,'[1]F &amp; O'!$F:$F,_xlfn.XLOOKUP(Base_CRM[[#This Row],[Assessor]],[1]DePara!$A:$A,[1]DePara!$D:$D,"Outros",0,1),0,1)</f>
        <v>Adonias Noronha</v>
      </c>
      <c r="R487" s="11" t="str">
        <f>_xlfn.XLOOKUP(Base_CRM[[#This Row],[Cód do Cliente]],'[1]F &amp; O'!$A:$A,'[1]F &amp; O'!D:D,"Sem Finder",0,1)</f>
        <v>Sem Finder</v>
      </c>
      <c r="S487" s="11" t="str">
        <f>_xlfn.XLOOKUP(Base_CRM[[#This Row],[Cód do Cliente]],'[1]F &amp; O'!$A:$A,'[1]F &amp; O'!E:E,"Sem Canal",0,1)</f>
        <v>Sem Canal</v>
      </c>
      <c r="T487" s="11" t="str">
        <f t="shared" si="7"/>
        <v>Cliente XP</v>
      </c>
    </row>
    <row r="488" spans="1:20" x14ac:dyDescent="0.3">
      <c r="A488">
        <v>511894</v>
      </c>
      <c r="B488" s="8" t="s">
        <v>1119</v>
      </c>
      <c r="C488" s="9" t="s">
        <v>34</v>
      </c>
      <c r="D488" s="8">
        <v>611040.91</v>
      </c>
      <c r="E488">
        <v>1000000</v>
      </c>
      <c r="F488" t="s">
        <v>22</v>
      </c>
      <c r="G488" t="s">
        <v>71</v>
      </c>
      <c r="H488" s="10">
        <v>30187</v>
      </c>
      <c r="I488" s="10" t="s">
        <v>31</v>
      </c>
      <c r="K488" t="s">
        <v>68</v>
      </c>
      <c r="L488" t="s">
        <v>1120</v>
      </c>
      <c r="M488" t="s">
        <v>64</v>
      </c>
      <c r="N488" s="11" t="str">
        <f>Base_CRM[[#This Row],[Cidade]]&amp;"/"&amp;Base_CRM[[#This Row],[Estado]]</f>
        <v>SAO PAULO/</v>
      </c>
      <c r="O488" s="12">
        <f>IFERROR(IF(Base_CRM[[#This Row],[PL Tailor]]&gt;Base_CRM[[#This Row],[PL Declarado]],1,Base_CRM[[#This Row],[PL Tailor]]/Base_CRM[[#This Row],[PL Declarado]]),0)</f>
        <v>0.61104091000000005</v>
      </c>
      <c r="P488" s="11" t="str">
        <f>IF(Base_CRM[[#This Row],[Estado Civil]]="","PESSOA JURÍDICA","PESSOA FÍSICA")</f>
        <v>PESSOA FÍSICA</v>
      </c>
      <c r="Q488" t="str">
        <f>_xlfn.XLOOKUP(Base_CRM[[#This Row],[Cód do Cliente]],'[1]F &amp; O'!$A:$A,'[1]F &amp; O'!$F:$F,_xlfn.XLOOKUP(Base_CRM[[#This Row],[Assessor]],[1]DePara!$A:$A,[1]DePara!$D:$D,"Outros",0,1),0,1)</f>
        <v>Adonias Noronha</v>
      </c>
      <c r="R488" s="11" t="str">
        <f>_xlfn.XLOOKUP(Base_CRM[[#This Row],[Cód do Cliente]],'[1]F &amp; O'!$A:$A,'[1]F &amp; O'!D:D,"Sem Finder",0,1)</f>
        <v>Sem Finder</v>
      </c>
      <c r="S488" s="11" t="str">
        <f>_xlfn.XLOOKUP(Base_CRM[[#This Row],[Cód do Cliente]],'[1]F &amp; O'!$A:$A,'[1]F &amp; O'!E:E,"Sem Canal",0,1)</f>
        <v>Camila Corrêa</v>
      </c>
      <c r="T488" s="11" t="str">
        <f t="shared" si="7"/>
        <v>Cliente XP</v>
      </c>
    </row>
    <row r="489" spans="1:20" x14ac:dyDescent="0.3">
      <c r="A489">
        <v>5141046</v>
      </c>
      <c r="B489" s="8" t="s">
        <v>1121</v>
      </c>
      <c r="C489" s="9" t="s">
        <v>74</v>
      </c>
      <c r="D489" s="8">
        <v>113850.69</v>
      </c>
      <c r="E489">
        <v>200000</v>
      </c>
      <c r="F489" t="s">
        <v>29</v>
      </c>
      <c r="G489" t="s">
        <v>127</v>
      </c>
      <c r="H489" s="10">
        <v>20772</v>
      </c>
      <c r="I489" s="10" t="s">
        <v>24</v>
      </c>
      <c r="K489" t="s">
        <v>42</v>
      </c>
      <c r="L489" t="s">
        <v>1122</v>
      </c>
      <c r="N489" s="11" t="str">
        <f>Base_CRM[[#This Row],[Cidade]]&amp;"/"&amp;Base_CRM[[#This Row],[Estado]]</f>
        <v>RIO DE JANEIRO/</v>
      </c>
      <c r="O489" s="12">
        <f>IFERROR(IF(Base_CRM[[#This Row],[PL Tailor]]&gt;Base_CRM[[#This Row],[PL Declarado]],1,Base_CRM[[#This Row],[PL Tailor]]/Base_CRM[[#This Row],[PL Declarado]]),0)</f>
        <v>0.56925345000000005</v>
      </c>
      <c r="P489" s="11" t="str">
        <f>IF(Base_CRM[[#This Row],[Estado Civil]]="","PESSOA JURÍDICA","PESSOA FÍSICA")</f>
        <v>PESSOA FÍSICA</v>
      </c>
      <c r="Q489" t="str">
        <f>_xlfn.XLOOKUP(Base_CRM[[#This Row],[Cód do Cliente]],'[1]F &amp; O'!$A:$A,'[1]F &amp; O'!$F:$F,_xlfn.XLOOKUP(Base_CRM[[#This Row],[Assessor]],[1]DePara!$A:$A,[1]DePara!$D:$D,"Outros",0,1),0,1)</f>
        <v>Thayane Freitas</v>
      </c>
      <c r="R489" s="11" t="str">
        <f>_xlfn.XLOOKUP(Base_CRM[[#This Row],[Cód do Cliente]],'[1]F &amp; O'!$A:$A,'[1]F &amp; O'!D:D,"Sem Finder",0,1)</f>
        <v>Sem Finder</v>
      </c>
      <c r="S489" s="11" t="str">
        <f>_xlfn.XLOOKUP(Base_CRM[[#This Row],[Cód do Cliente]],'[1]F &amp; O'!$A:$A,'[1]F &amp; O'!E:E,"Sem Canal",0,1)</f>
        <v>Sem Canal</v>
      </c>
      <c r="T489" s="11" t="str">
        <f t="shared" si="7"/>
        <v>Cliente XP</v>
      </c>
    </row>
    <row r="490" spans="1:20" x14ac:dyDescent="0.3">
      <c r="A490">
        <v>5152349</v>
      </c>
      <c r="B490" s="8" t="s">
        <v>1123</v>
      </c>
      <c r="C490" s="9" t="s">
        <v>48</v>
      </c>
      <c r="D490" s="8">
        <v>364122.14</v>
      </c>
      <c r="E490">
        <v>1000000</v>
      </c>
      <c r="F490" t="s">
        <v>22</v>
      </c>
      <c r="G490" t="s">
        <v>45</v>
      </c>
      <c r="H490" s="10">
        <v>41697</v>
      </c>
      <c r="I490" s="10" t="s">
        <v>962</v>
      </c>
      <c r="K490" t="s">
        <v>25</v>
      </c>
      <c r="L490" t="s">
        <v>1124</v>
      </c>
      <c r="N490" s="11" t="str">
        <f>Base_CRM[[#This Row],[Cidade]]&amp;"/"&amp;Base_CRM[[#This Row],[Estado]]</f>
        <v>COLOMBO/</v>
      </c>
      <c r="O490" s="12">
        <f>IFERROR(IF(Base_CRM[[#This Row],[PL Tailor]]&gt;Base_CRM[[#This Row],[PL Declarado]],1,Base_CRM[[#This Row],[PL Tailor]]/Base_CRM[[#This Row],[PL Declarado]]),0)</f>
        <v>0.36412214000000004</v>
      </c>
      <c r="P490" s="11" t="str">
        <f>IF(Base_CRM[[#This Row],[Estado Civil]]="","PESSOA JURÍDICA","PESSOA FÍSICA")</f>
        <v>PESSOA FÍSICA</v>
      </c>
      <c r="Q490" t="str">
        <f>_xlfn.XLOOKUP(Base_CRM[[#This Row],[Cód do Cliente]],'[1]F &amp; O'!$A:$A,'[1]F &amp; O'!$F:$F,_xlfn.XLOOKUP(Base_CRM[[#This Row],[Assessor]],[1]DePara!$A:$A,[1]DePara!$D:$D,"Outros",0,1),0,1)</f>
        <v>Raphael Farias</v>
      </c>
      <c r="R490" s="11" t="str">
        <f>_xlfn.XLOOKUP(Base_CRM[[#This Row],[Cód do Cliente]],'[1]F &amp; O'!$A:$A,'[1]F &amp; O'!D:D,"Sem Finder",0,1)</f>
        <v>Sem Finder</v>
      </c>
      <c r="S490" s="11" t="str">
        <f>_xlfn.XLOOKUP(Base_CRM[[#This Row],[Cód do Cliente]],'[1]F &amp; O'!$A:$A,'[1]F &amp; O'!E:E,"Sem Canal",0,1)</f>
        <v>Sem Canal</v>
      </c>
      <c r="T490" s="11" t="str">
        <f t="shared" si="7"/>
        <v>Cliente XP</v>
      </c>
    </row>
    <row r="491" spans="1:20" x14ac:dyDescent="0.3">
      <c r="A491">
        <v>515324</v>
      </c>
      <c r="B491" s="8" t="s">
        <v>1125</v>
      </c>
      <c r="C491" s="9" t="s">
        <v>39</v>
      </c>
      <c r="D491" s="8">
        <v>1976582.23</v>
      </c>
      <c r="E491">
        <v>1700000</v>
      </c>
      <c r="F491" t="s">
        <v>22</v>
      </c>
      <c r="H491" s="10">
        <v>32405</v>
      </c>
      <c r="I491" s="10" t="s">
        <v>115</v>
      </c>
      <c r="K491" t="s">
        <v>42</v>
      </c>
      <c r="L491" t="s">
        <v>1126</v>
      </c>
      <c r="N491" s="11" t="str">
        <f>Base_CRM[[#This Row],[Cidade]]&amp;"/"&amp;Base_CRM[[#This Row],[Estado]]</f>
        <v>BARUERI/</v>
      </c>
      <c r="O491" s="12">
        <f>IFERROR(IF(Base_CRM[[#This Row],[PL Tailor]]&gt;Base_CRM[[#This Row],[PL Declarado]],1,Base_CRM[[#This Row],[PL Tailor]]/Base_CRM[[#This Row],[PL Declarado]]),0)</f>
        <v>1</v>
      </c>
      <c r="P491" s="11" t="str">
        <f>IF(Base_CRM[[#This Row],[Estado Civil]]="","PESSOA JURÍDICA","PESSOA FÍSICA")</f>
        <v>PESSOA FÍSICA</v>
      </c>
      <c r="Q491" t="str">
        <f>_xlfn.XLOOKUP(Base_CRM[[#This Row],[Cód do Cliente]],'[1]F &amp; O'!$A:$A,'[1]F &amp; O'!$F:$F,_xlfn.XLOOKUP(Base_CRM[[#This Row],[Assessor]],[1]DePara!$A:$A,[1]DePara!$D:$D,"Outros",0,1),0,1)</f>
        <v>Gestora</v>
      </c>
      <c r="R491" s="11" t="str">
        <f>_xlfn.XLOOKUP(Base_CRM[[#This Row],[Cód do Cliente]],'[1]F &amp; O'!$A:$A,'[1]F &amp; O'!D:D,"Sem Finder",0,1)</f>
        <v>Sem Finder</v>
      </c>
      <c r="S491" s="11" t="str">
        <f>_xlfn.XLOOKUP(Base_CRM[[#This Row],[Cód do Cliente]],'[1]F &amp; O'!$A:$A,'[1]F &amp; O'!E:E,"Sem Canal",0,1)</f>
        <v>Gestora</v>
      </c>
      <c r="T491" s="11" t="str">
        <f t="shared" si="7"/>
        <v>Cliente XP</v>
      </c>
    </row>
    <row r="492" spans="1:20" x14ac:dyDescent="0.3">
      <c r="A492">
        <v>5175315</v>
      </c>
      <c r="B492" s="8" t="s">
        <v>1127</v>
      </c>
      <c r="C492" s="9" t="s">
        <v>74</v>
      </c>
      <c r="D492" s="8">
        <v>33510.49</v>
      </c>
      <c r="E492">
        <v>17000</v>
      </c>
      <c r="F492" t="s">
        <v>29</v>
      </c>
      <c r="G492" t="s">
        <v>45</v>
      </c>
      <c r="H492" s="10">
        <v>42355</v>
      </c>
      <c r="I492" s="10" t="s">
        <v>31</v>
      </c>
      <c r="K492" t="s">
        <v>25</v>
      </c>
      <c r="L492" t="s">
        <v>1128</v>
      </c>
      <c r="N492" s="11" t="str">
        <f>Base_CRM[[#This Row],[Cidade]]&amp;"/"&amp;Base_CRM[[#This Row],[Estado]]</f>
        <v>SAO PAULO/</v>
      </c>
      <c r="O492" s="12">
        <f>IFERROR(IF(Base_CRM[[#This Row],[PL Tailor]]&gt;Base_CRM[[#This Row],[PL Declarado]],1,Base_CRM[[#This Row],[PL Tailor]]/Base_CRM[[#This Row],[PL Declarado]]),0)</f>
        <v>1</v>
      </c>
      <c r="P492" s="11" t="str">
        <f>IF(Base_CRM[[#This Row],[Estado Civil]]="","PESSOA JURÍDICA","PESSOA FÍSICA")</f>
        <v>PESSOA FÍSICA</v>
      </c>
      <c r="Q492" t="str">
        <f>_xlfn.XLOOKUP(Base_CRM[[#This Row],[Cód do Cliente]],'[1]F &amp; O'!$A:$A,'[1]F &amp; O'!$F:$F,_xlfn.XLOOKUP(Base_CRM[[#This Row],[Assessor]],[1]DePara!$A:$A,[1]DePara!$D:$D,"Outros",0,1),0,1)</f>
        <v>Thayane Freitas</v>
      </c>
      <c r="R492" s="11" t="str">
        <f>_xlfn.XLOOKUP(Base_CRM[[#This Row],[Cód do Cliente]],'[1]F &amp; O'!$A:$A,'[1]F &amp; O'!D:D,"Sem Finder",0,1)</f>
        <v>Sem Finder</v>
      </c>
      <c r="S492" s="11" t="str">
        <f>_xlfn.XLOOKUP(Base_CRM[[#This Row],[Cód do Cliente]],'[1]F &amp; O'!$A:$A,'[1]F &amp; O'!E:E,"Sem Canal",0,1)</f>
        <v>Sem Canal</v>
      </c>
      <c r="T492" s="11" t="str">
        <f t="shared" si="7"/>
        <v>Cliente XP</v>
      </c>
    </row>
    <row r="493" spans="1:20" x14ac:dyDescent="0.3">
      <c r="A493">
        <v>5228715</v>
      </c>
      <c r="B493" s="8" t="s">
        <v>1129</v>
      </c>
      <c r="C493" s="9" t="s">
        <v>21</v>
      </c>
      <c r="D493" s="8">
        <v>881203.26</v>
      </c>
      <c r="E493">
        <v>500000</v>
      </c>
      <c r="F493" t="s">
        <v>29</v>
      </c>
      <c r="G493" t="s">
        <v>71</v>
      </c>
      <c r="H493" s="10">
        <v>21972</v>
      </c>
      <c r="I493" s="10" t="s">
        <v>584</v>
      </c>
      <c r="K493" t="s">
        <v>68</v>
      </c>
      <c r="L493" t="s">
        <v>1130</v>
      </c>
      <c r="N493" s="11" t="str">
        <f>Base_CRM[[#This Row],[Cidade]]&amp;"/"&amp;Base_CRM[[#This Row],[Estado]]</f>
        <v>NOVA FRIBURGO/</v>
      </c>
      <c r="O493" s="12">
        <f>IFERROR(IF(Base_CRM[[#This Row],[PL Tailor]]&gt;Base_CRM[[#This Row],[PL Declarado]],1,Base_CRM[[#This Row],[PL Tailor]]/Base_CRM[[#This Row],[PL Declarado]]),0)</f>
        <v>1</v>
      </c>
      <c r="P493" s="11" t="str">
        <f>IF(Base_CRM[[#This Row],[Estado Civil]]="","PESSOA JURÍDICA","PESSOA FÍSICA")</f>
        <v>PESSOA FÍSICA</v>
      </c>
      <c r="Q493" t="str">
        <f>_xlfn.XLOOKUP(Base_CRM[[#This Row],[Cód do Cliente]],'[1]F &amp; O'!$A:$A,'[1]F &amp; O'!$F:$F,_xlfn.XLOOKUP(Base_CRM[[#This Row],[Assessor]],[1]DePara!$A:$A,[1]DePara!$D:$D,"Outros",0,1),0,1)</f>
        <v>Leonardo Burle</v>
      </c>
      <c r="R493" s="11" t="str">
        <f>_xlfn.XLOOKUP(Base_CRM[[#This Row],[Cód do Cliente]],'[1]F &amp; O'!$A:$A,'[1]F &amp; O'!D:D,"Sem Finder",0,1)</f>
        <v>Sem Finder</v>
      </c>
      <c r="S493" s="11" t="str">
        <f>_xlfn.XLOOKUP(Base_CRM[[#This Row],[Cód do Cliente]],'[1]F &amp; O'!$A:$A,'[1]F &amp; O'!E:E,"Sem Canal",0,1)</f>
        <v>Sem Canal</v>
      </c>
      <c r="T493" s="11" t="str">
        <f t="shared" si="7"/>
        <v>Cliente XP</v>
      </c>
    </row>
    <row r="494" spans="1:20" x14ac:dyDescent="0.3">
      <c r="A494">
        <v>5232476</v>
      </c>
      <c r="B494" s="8" t="s">
        <v>1131</v>
      </c>
      <c r="C494" s="9" t="s">
        <v>74</v>
      </c>
      <c r="D494" s="8">
        <v>138045.16</v>
      </c>
      <c r="E494">
        <v>10</v>
      </c>
      <c r="F494" t="s">
        <v>29</v>
      </c>
      <c r="G494" t="s">
        <v>87</v>
      </c>
      <c r="H494" s="10">
        <v>35344</v>
      </c>
      <c r="I494" s="10" t="s">
        <v>24</v>
      </c>
      <c r="K494" t="s">
        <v>25</v>
      </c>
      <c r="L494" t="s">
        <v>1132</v>
      </c>
      <c r="M494" t="s">
        <v>60</v>
      </c>
      <c r="N494" s="11" t="str">
        <f>Base_CRM[[#This Row],[Cidade]]&amp;"/"&amp;Base_CRM[[#This Row],[Estado]]</f>
        <v>RIO DE JANEIRO/</v>
      </c>
      <c r="O494" s="12">
        <f>IFERROR(IF(Base_CRM[[#This Row],[PL Tailor]]&gt;Base_CRM[[#This Row],[PL Declarado]],1,Base_CRM[[#This Row],[PL Tailor]]/Base_CRM[[#This Row],[PL Declarado]]),0)</f>
        <v>1</v>
      </c>
      <c r="P494" s="11" t="str">
        <f>IF(Base_CRM[[#This Row],[Estado Civil]]="","PESSOA JURÍDICA","PESSOA FÍSICA")</f>
        <v>PESSOA FÍSICA</v>
      </c>
      <c r="Q494" t="str">
        <f>_xlfn.XLOOKUP(Base_CRM[[#This Row],[Cód do Cliente]],'[1]F &amp; O'!$A:$A,'[1]F &amp; O'!$F:$F,_xlfn.XLOOKUP(Base_CRM[[#This Row],[Assessor]],[1]DePara!$A:$A,[1]DePara!$D:$D,"Outros",0,1),0,1)</f>
        <v>Thayane Freitas</v>
      </c>
      <c r="R494" s="11" t="str">
        <f>_xlfn.XLOOKUP(Base_CRM[[#This Row],[Cód do Cliente]],'[1]F &amp; O'!$A:$A,'[1]F &amp; O'!D:D,"Sem Finder",0,1)</f>
        <v>Sem Finder</v>
      </c>
      <c r="S494" s="11" t="str">
        <f>_xlfn.XLOOKUP(Base_CRM[[#This Row],[Cód do Cliente]],'[1]F &amp; O'!$A:$A,'[1]F &amp; O'!E:E,"Sem Canal",0,1)</f>
        <v>Sem Canal</v>
      </c>
      <c r="T494" s="11" t="str">
        <f t="shared" si="7"/>
        <v>Cliente XP</v>
      </c>
    </row>
    <row r="495" spans="1:20" x14ac:dyDescent="0.3">
      <c r="A495">
        <v>5253617</v>
      </c>
      <c r="B495" s="8" t="s">
        <v>1133</v>
      </c>
      <c r="C495" s="9" t="s">
        <v>74</v>
      </c>
      <c r="D495" s="8">
        <v>0</v>
      </c>
      <c r="E495">
        <v>50000</v>
      </c>
      <c r="F495" t="s">
        <v>40</v>
      </c>
      <c r="G495" t="s">
        <v>133</v>
      </c>
      <c r="H495" s="10">
        <v>27497</v>
      </c>
      <c r="I495" s="10" t="s">
        <v>1134</v>
      </c>
      <c r="K495" t="s">
        <v>25</v>
      </c>
      <c r="L495" t="s">
        <v>1135</v>
      </c>
      <c r="N495" s="11" t="str">
        <f>Base_CRM[[#This Row],[Cidade]]&amp;"/"&amp;Base_CRM[[#This Row],[Estado]]</f>
        <v>OLINDA/</v>
      </c>
      <c r="O495" s="12">
        <f>IFERROR(IF(Base_CRM[[#This Row],[PL Tailor]]&gt;Base_CRM[[#This Row],[PL Declarado]],1,Base_CRM[[#This Row],[PL Tailor]]/Base_CRM[[#This Row],[PL Declarado]]),0)</f>
        <v>0</v>
      </c>
      <c r="P495" s="11" t="str">
        <f>IF(Base_CRM[[#This Row],[Estado Civil]]="","PESSOA JURÍDICA","PESSOA FÍSICA")</f>
        <v>PESSOA FÍSICA</v>
      </c>
      <c r="Q495" t="str">
        <f>_xlfn.XLOOKUP(Base_CRM[[#This Row],[Cód do Cliente]],'[1]F &amp; O'!$A:$A,'[1]F &amp; O'!$F:$F,_xlfn.XLOOKUP(Base_CRM[[#This Row],[Assessor]],[1]DePara!$A:$A,[1]DePara!$D:$D,"Outros",0,1),0,1)</f>
        <v>Thayane Freitas</v>
      </c>
      <c r="R495" s="11" t="str">
        <f>_xlfn.XLOOKUP(Base_CRM[[#This Row],[Cód do Cliente]],'[1]F &amp; O'!$A:$A,'[1]F &amp; O'!D:D,"Sem Finder",0,1)</f>
        <v>Sem Finder</v>
      </c>
      <c r="S495" s="11" t="str">
        <f>_xlfn.XLOOKUP(Base_CRM[[#This Row],[Cód do Cliente]],'[1]F &amp; O'!$A:$A,'[1]F &amp; O'!E:E,"Sem Canal",0,1)</f>
        <v>Sem Canal</v>
      </c>
      <c r="T495" s="11" t="str">
        <f t="shared" si="7"/>
        <v>Cliente XP</v>
      </c>
    </row>
    <row r="496" spans="1:20" x14ac:dyDescent="0.3">
      <c r="A496">
        <v>5281438</v>
      </c>
      <c r="B496" s="8" t="s">
        <v>1136</v>
      </c>
      <c r="C496" s="9" t="s">
        <v>74</v>
      </c>
      <c r="D496" s="8">
        <v>0.06</v>
      </c>
      <c r="E496">
        <v>20000</v>
      </c>
      <c r="F496" t="s">
        <v>29</v>
      </c>
      <c r="G496" t="s">
        <v>96</v>
      </c>
      <c r="H496" s="10">
        <v>21764</v>
      </c>
      <c r="I496" s="10" t="s">
        <v>24</v>
      </c>
      <c r="K496" t="s">
        <v>88</v>
      </c>
      <c r="L496" t="s">
        <v>1137</v>
      </c>
      <c r="N496" s="11" t="str">
        <f>Base_CRM[[#This Row],[Cidade]]&amp;"/"&amp;Base_CRM[[#This Row],[Estado]]</f>
        <v>RIO DE JANEIRO/</v>
      </c>
      <c r="O496" s="12">
        <f>IFERROR(IF(Base_CRM[[#This Row],[PL Tailor]]&gt;Base_CRM[[#This Row],[PL Declarado]],1,Base_CRM[[#This Row],[PL Tailor]]/Base_CRM[[#This Row],[PL Declarado]]),0)</f>
        <v>3.0000000000000001E-6</v>
      </c>
      <c r="P496" s="11" t="str">
        <f>IF(Base_CRM[[#This Row],[Estado Civil]]="","PESSOA JURÍDICA","PESSOA FÍSICA")</f>
        <v>PESSOA FÍSICA</v>
      </c>
      <c r="Q496" t="str">
        <f>_xlfn.XLOOKUP(Base_CRM[[#This Row],[Cód do Cliente]],'[1]F &amp; O'!$A:$A,'[1]F &amp; O'!$F:$F,_xlfn.XLOOKUP(Base_CRM[[#This Row],[Assessor]],[1]DePara!$A:$A,[1]DePara!$D:$D,"Outros",0,1),0,1)</f>
        <v>Thayane Freitas</v>
      </c>
      <c r="R496" s="11" t="str">
        <f>_xlfn.XLOOKUP(Base_CRM[[#This Row],[Cód do Cliente]],'[1]F &amp; O'!$A:$A,'[1]F &amp; O'!D:D,"Sem Finder",0,1)</f>
        <v>Sem Finder</v>
      </c>
      <c r="S496" s="11" t="str">
        <f>_xlfn.XLOOKUP(Base_CRM[[#This Row],[Cód do Cliente]],'[1]F &amp; O'!$A:$A,'[1]F &amp; O'!E:E,"Sem Canal",0,1)</f>
        <v>Sem Canal</v>
      </c>
      <c r="T496" s="11" t="str">
        <f t="shared" si="7"/>
        <v>Cliente XP</v>
      </c>
    </row>
    <row r="497" spans="1:20" x14ac:dyDescent="0.3">
      <c r="A497">
        <v>5283410</v>
      </c>
      <c r="B497" s="8" t="s">
        <v>1138</v>
      </c>
      <c r="C497" s="9" t="s">
        <v>74</v>
      </c>
      <c r="D497" s="8">
        <v>0</v>
      </c>
      <c r="E497">
        <v>10000</v>
      </c>
      <c r="F497" t="s">
        <v>40</v>
      </c>
      <c r="G497" t="s">
        <v>337</v>
      </c>
      <c r="H497" s="10">
        <v>34865</v>
      </c>
      <c r="I497" s="10" t="s">
        <v>1139</v>
      </c>
      <c r="K497" t="s">
        <v>25</v>
      </c>
      <c r="L497" t="s">
        <v>1140</v>
      </c>
      <c r="N497" s="11" t="str">
        <f>Base_CRM[[#This Row],[Cidade]]&amp;"/"&amp;Base_CRM[[#This Row],[Estado]]</f>
        <v>BALNEARIO CAMBORIU/</v>
      </c>
      <c r="O497" s="12">
        <f>IFERROR(IF(Base_CRM[[#This Row],[PL Tailor]]&gt;Base_CRM[[#This Row],[PL Declarado]],1,Base_CRM[[#This Row],[PL Tailor]]/Base_CRM[[#This Row],[PL Declarado]]),0)</f>
        <v>0</v>
      </c>
      <c r="P497" s="11" t="str">
        <f>IF(Base_CRM[[#This Row],[Estado Civil]]="","PESSOA JURÍDICA","PESSOA FÍSICA")</f>
        <v>PESSOA FÍSICA</v>
      </c>
      <c r="Q497" t="str">
        <f>_xlfn.XLOOKUP(Base_CRM[[#This Row],[Cód do Cliente]],'[1]F &amp; O'!$A:$A,'[1]F &amp; O'!$F:$F,_xlfn.XLOOKUP(Base_CRM[[#This Row],[Assessor]],[1]DePara!$A:$A,[1]DePara!$D:$D,"Outros",0,1),0,1)</f>
        <v>Thayane Freitas</v>
      </c>
      <c r="R497" s="11" t="str">
        <f>_xlfn.XLOOKUP(Base_CRM[[#This Row],[Cód do Cliente]],'[1]F &amp; O'!$A:$A,'[1]F &amp; O'!D:D,"Sem Finder",0,1)</f>
        <v>Sem Finder</v>
      </c>
      <c r="S497" s="11" t="str">
        <f>_xlfn.XLOOKUP(Base_CRM[[#This Row],[Cód do Cliente]],'[1]F &amp; O'!$A:$A,'[1]F &amp; O'!E:E,"Sem Canal",0,1)</f>
        <v>Sem Canal</v>
      </c>
      <c r="T497" s="11" t="str">
        <f t="shared" si="7"/>
        <v>Cliente XP</v>
      </c>
    </row>
    <row r="498" spans="1:20" x14ac:dyDescent="0.3">
      <c r="A498">
        <v>528617</v>
      </c>
      <c r="B498" s="8" t="s">
        <v>1141</v>
      </c>
      <c r="C498" s="9" t="s">
        <v>21</v>
      </c>
      <c r="D498" s="8">
        <v>1857624.07</v>
      </c>
      <c r="E498">
        <v>1900000</v>
      </c>
      <c r="F498" t="s">
        <v>22</v>
      </c>
      <c r="G498" t="s">
        <v>71</v>
      </c>
      <c r="H498" s="10">
        <v>16604</v>
      </c>
      <c r="I498" s="10" t="s">
        <v>1142</v>
      </c>
      <c r="K498" t="s">
        <v>25</v>
      </c>
      <c r="L498" t="s">
        <v>1143</v>
      </c>
      <c r="N498" s="11" t="str">
        <f>Base_CRM[[#This Row],[Cidade]]&amp;"/"&amp;Base_CRM[[#This Row],[Estado]]</f>
        <v>BARRA DO PIRAI/</v>
      </c>
      <c r="O498" s="12">
        <f>IFERROR(IF(Base_CRM[[#This Row],[PL Tailor]]&gt;Base_CRM[[#This Row],[PL Declarado]],1,Base_CRM[[#This Row],[PL Tailor]]/Base_CRM[[#This Row],[PL Declarado]]),0)</f>
        <v>0.97769687894736845</v>
      </c>
      <c r="P498" s="11" t="str">
        <f>IF(Base_CRM[[#This Row],[Estado Civil]]="","PESSOA JURÍDICA","PESSOA FÍSICA")</f>
        <v>PESSOA FÍSICA</v>
      </c>
      <c r="Q498" t="str">
        <f>_xlfn.XLOOKUP(Base_CRM[[#This Row],[Cód do Cliente]],'[1]F &amp; O'!$A:$A,'[1]F &amp; O'!$F:$F,_xlfn.XLOOKUP(Base_CRM[[#This Row],[Assessor]],[1]DePara!$A:$A,[1]DePara!$D:$D,"Outros",0,1),0,1)</f>
        <v>Leonardo Burle</v>
      </c>
      <c r="R498" s="11" t="str">
        <f>_xlfn.XLOOKUP(Base_CRM[[#This Row],[Cód do Cliente]],'[1]F &amp; O'!$A:$A,'[1]F &amp; O'!D:D,"Sem Finder",0,1)</f>
        <v>Sem Finder</v>
      </c>
      <c r="S498" s="11" t="str">
        <f>_xlfn.XLOOKUP(Base_CRM[[#This Row],[Cód do Cliente]],'[1]F &amp; O'!$A:$A,'[1]F &amp; O'!E:E,"Sem Canal",0,1)</f>
        <v>Sem Canal</v>
      </c>
      <c r="T498" s="11" t="str">
        <f t="shared" si="7"/>
        <v>Cliente XP</v>
      </c>
    </row>
    <row r="499" spans="1:20" x14ac:dyDescent="0.3">
      <c r="A499">
        <v>5287603</v>
      </c>
      <c r="B499" s="8" t="s">
        <v>1144</v>
      </c>
      <c r="C499" s="9" t="s">
        <v>39</v>
      </c>
      <c r="D499" s="8">
        <v>579112.12</v>
      </c>
      <c r="E499">
        <v>500000</v>
      </c>
      <c r="F499" t="s">
        <v>40</v>
      </c>
      <c r="G499" t="s">
        <v>127</v>
      </c>
      <c r="H499" s="10">
        <v>21024</v>
      </c>
      <c r="I499" s="10" t="s">
        <v>31</v>
      </c>
      <c r="K499" t="s">
        <v>250</v>
      </c>
      <c r="L499" t="s">
        <v>1145</v>
      </c>
      <c r="N499" s="11" t="str">
        <f>Base_CRM[[#This Row],[Cidade]]&amp;"/"&amp;Base_CRM[[#This Row],[Estado]]</f>
        <v>SAO PAULO/</v>
      </c>
      <c r="O499" s="12">
        <f>IFERROR(IF(Base_CRM[[#This Row],[PL Tailor]]&gt;Base_CRM[[#This Row],[PL Declarado]],1,Base_CRM[[#This Row],[PL Tailor]]/Base_CRM[[#This Row],[PL Declarado]]),0)</f>
        <v>1</v>
      </c>
      <c r="P499" s="11" t="str">
        <f>IF(Base_CRM[[#This Row],[Estado Civil]]="","PESSOA JURÍDICA","PESSOA FÍSICA")</f>
        <v>PESSOA FÍSICA</v>
      </c>
      <c r="Q499" t="str">
        <f>_xlfn.XLOOKUP(Base_CRM[[#This Row],[Cód do Cliente]],'[1]F &amp; O'!$A:$A,'[1]F &amp; O'!$F:$F,_xlfn.XLOOKUP(Base_CRM[[#This Row],[Assessor]],[1]DePara!$A:$A,[1]DePara!$D:$D,"Outros",0,1),0,1)</f>
        <v>Gestora</v>
      </c>
      <c r="R499" s="11" t="str">
        <f>_xlfn.XLOOKUP(Base_CRM[[#This Row],[Cód do Cliente]],'[1]F &amp; O'!$A:$A,'[1]F &amp; O'!D:D,"Sem Finder",0,1)</f>
        <v>Sem Finder</v>
      </c>
      <c r="S499" s="11" t="str">
        <f>_xlfn.XLOOKUP(Base_CRM[[#This Row],[Cód do Cliente]],'[1]F &amp; O'!$A:$A,'[1]F &amp; O'!E:E,"Sem Canal",0,1)</f>
        <v>Gestora</v>
      </c>
      <c r="T499" s="11" t="str">
        <f t="shared" si="7"/>
        <v>Cliente XP</v>
      </c>
    </row>
    <row r="500" spans="1:20" x14ac:dyDescent="0.3">
      <c r="A500">
        <v>5360846</v>
      </c>
      <c r="B500" s="8" t="s">
        <v>1146</v>
      </c>
      <c r="C500" s="9" t="s">
        <v>74</v>
      </c>
      <c r="D500" s="8">
        <v>141427.81</v>
      </c>
      <c r="E500">
        <v>1000000</v>
      </c>
      <c r="F500" t="s">
        <v>29</v>
      </c>
      <c r="G500" t="s">
        <v>291</v>
      </c>
      <c r="H500" s="10">
        <v>33994</v>
      </c>
      <c r="I500" s="10" t="s">
        <v>566</v>
      </c>
      <c r="K500" t="s">
        <v>25</v>
      </c>
      <c r="L500" t="s">
        <v>1147</v>
      </c>
      <c r="M500" t="s">
        <v>77</v>
      </c>
      <c r="N500" s="11" t="str">
        <f>Base_CRM[[#This Row],[Cidade]]&amp;"/"&amp;Base_CRM[[#This Row],[Estado]]</f>
        <v>VITORIA/</v>
      </c>
      <c r="O500" s="12">
        <f>IFERROR(IF(Base_CRM[[#This Row],[PL Tailor]]&gt;Base_CRM[[#This Row],[PL Declarado]],1,Base_CRM[[#This Row],[PL Tailor]]/Base_CRM[[#This Row],[PL Declarado]]),0)</f>
        <v>0.14142780999999999</v>
      </c>
      <c r="P500" s="11" t="str">
        <f>IF(Base_CRM[[#This Row],[Estado Civil]]="","PESSOA JURÍDICA","PESSOA FÍSICA")</f>
        <v>PESSOA FÍSICA</v>
      </c>
      <c r="Q500" t="str">
        <f>_xlfn.XLOOKUP(Base_CRM[[#This Row],[Cód do Cliente]],'[1]F &amp; O'!$A:$A,'[1]F &amp; O'!$F:$F,_xlfn.XLOOKUP(Base_CRM[[#This Row],[Assessor]],[1]DePara!$A:$A,[1]DePara!$D:$D,"Outros",0,1),0,1)</f>
        <v>Thayane Freitas</v>
      </c>
      <c r="R500" s="11" t="str">
        <f>_xlfn.XLOOKUP(Base_CRM[[#This Row],[Cód do Cliente]],'[1]F &amp; O'!$A:$A,'[1]F &amp; O'!D:D,"Sem Finder",0,1)</f>
        <v>Sem Finder</v>
      </c>
      <c r="S500" s="11" t="str">
        <f>_xlfn.XLOOKUP(Base_CRM[[#This Row],[Cód do Cliente]],'[1]F &amp; O'!$A:$A,'[1]F &amp; O'!E:E,"Sem Canal",0,1)</f>
        <v>Sem Canal</v>
      </c>
      <c r="T500" s="11" t="str">
        <f t="shared" si="7"/>
        <v>Cliente XP</v>
      </c>
    </row>
    <row r="501" spans="1:20" x14ac:dyDescent="0.3">
      <c r="A501">
        <v>538019</v>
      </c>
      <c r="B501" s="8" t="s">
        <v>1148</v>
      </c>
      <c r="C501" s="9" t="s">
        <v>48</v>
      </c>
      <c r="D501" s="8">
        <v>1812168.46</v>
      </c>
      <c r="E501">
        <v>2300000</v>
      </c>
      <c r="F501" t="s">
        <v>22</v>
      </c>
      <c r="G501" t="s">
        <v>87</v>
      </c>
      <c r="H501" s="10">
        <v>33213</v>
      </c>
      <c r="I501" s="10" t="s">
        <v>115</v>
      </c>
      <c r="K501" t="s">
        <v>42</v>
      </c>
      <c r="L501" t="s">
        <v>1149</v>
      </c>
      <c r="M501" t="s">
        <v>64</v>
      </c>
      <c r="N501" s="11" t="str">
        <f>Base_CRM[[#This Row],[Cidade]]&amp;"/"&amp;Base_CRM[[#This Row],[Estado]]</f>
        <v>BARUERI/</v>
      </c>
      <c r="O501" s="12">
        <f>IFERROR(IF(Base_CRM[[#This Row],[PL Tailor]]&gt;Base_CRM[[#This Row],[PL Declarado]],1,Base_CRM[[#This Row],[PL Tailor]]/Base_CRM[[#This Row],[PL Declarado]]),0)</f>
        <v>0.78789933043478255</v>
      </c>
      <c r="P501" s="11" t="str">
        <f>IF(Base_CRM[[#This Row],[Estado Civil]]="","PESSOA JURÍDICA","PESSOA FÍSICA")</f>
        <v>PESSOA FÍSICA</v>
      </c>
      <c r="Q501" t="str">
        <f>_xlfn.XLOOKUP(Base_CRM[[#This Row],[Cód do Cliente]],'[1]F &amp; O'!$A:$A,'[1]F &amp; O'!$F:$F,_xlfn.XLOOKUP(Base_CRM[[#This Row],[Assessor]],[1]DePara!$A:$A,[1]DePara!$D:$D,"Outros",0,1),0,1)</f>
        <v>Raphael Farias</v>
      </c>
      <c r="R501" s="11" t="str">
        <f>_xlfn.XLOOKUP(Base_CRM[[#This Row],[Cód do Cliente]],'[1]F &amp; O'!$A:$A,'[1]F &amp; O'!D:D,"Sem Finder",0,1)</f>
        <v>José De Marchi</v>
      </c>
      <c r="S501" s="11" t="str">
        <f>_xlfn.XLOOKUP(Base_CRM[[#This Row],[Cód do Cliente]],'[1]F &amp; O'!$A:$A,'[1]F &amp; O'!E:E,"Sem Canal",0,1)</f>
        <v>Sem Canal</v>
      </c>
      <c r="T501" s="11" t="str">
        <f t="shared" si="7"/>
        <v>Cliente XP</v>
      </c>
    </row>
    <row r="502" spans="1:20" x14ac:dyDescent="0.3">
      <c r="A502">
        <v>545680</v>
      </c>
      <c r="B502" s="8" t="s">
        <v>1150</v>
      </c>
      <c r="C502" s="9" t="s">
        <v>21</v>
      </c>
      <c r="D502" s="8">
        <v>5507799.6200000001</v>
      </c>
      <c r="E502">
        <v>2500000</v>
      </c>
      <c r="F502" t="s">
        <v>22</v>
      </c>
      <c r="G502" t="s">
        <v>57</v>
      </c>
      <c r="H502" s="10">
        <v>27180</v>
      </c>
      <c r="I502" s="10" t="s">
        <v>24</v>
      </c>
      <c r="K502" t="s">
        <v>104</v>
      </c>
      <c r="L502" t="s">
        <v>1151</v>
      </c>
      <c r="M502" t="s">
        <v>64</v>
      </c>
      <c r="N502" s="11" t="str">
        <f>Base_CRM[[#This Row],[Cidade]]&amp;"/"&amp;Base_CRM[[#This Row],[Estado]]</f>
        <v>RIO DE JANEIRO/</v>
      </c>
      <c r="O502" s="12">
        <f>IFERROR(IF(Base_CRM[[#This Row],[PL Tailor]]&gt;Base_CRM[[#This Row],[PL Declarado]],1,Base_CRM[[#This Row],[PL Tailor]]/Base_CRM[[#This Row],[PL Declarado]]),0)</f>
        <v>1</v>
      </c>
      <c r="P502" s="11" t="str">
        <f>IF(Base_CRM[[#This Row],[Estado Civil]]="","PESSOA JURÍDICA","PESSOA FÍSICA")</f>
        <v>PESSOA FÍSICA</v>
      </c>
      <c r="Q502" t="str">
        <f>_xlfn.XLOOKUP(Base_CRM[[#This Row],[Cód do Cliente]],'[1]F &amp; O'!$A:$A,'[1]F &amp; O'!$F:$F,_xlfn.XLOOKUP(Base_CRM[[#This Row],[Assessor]],[1]DePara!$A:$A,[1]DePara!$D:$D,"Outros",0,1),0,1)</f>
        <v>Leonardo Burle</v>
      </c>
      <c r="R502" s="11" t="str">
        <f>_xlfn.XLOOKUP(Base_CRM[[#This Row],[Cód do Cliente]],'[1]F &amp; O'!$A:$A,'[1]F &amp; O'!D:D,"Sem Finder",0,1)</f>
        <v>Sem Finder</v>
      </c>
      <c r="S502" s="11" t="str">
        <f>_xlfn.XLOOKUP(Base_CRM[[#This Row],[Cód do Cliente]],'[1]F &amp; O'!$A:$A,'[1]F &amp; O'!E:E,"Sem Canal",0,1)</f>
        <v>Sem Canal</v>
      </c>
      <c r="T502" s="11" t="str">
        <f t="shared" si="7"/>
        <v>Cliente XP</v>
      </c>
    </row>
    <row r="503" spans="1:20" x14ac:dyDescent="0.3">
      <c r="A503">
        <v>546942</v>
      </c>
      <c r="B503" s="8" t="s">
        <v>293</v>
      </c>
      <c r="C503" s="9" t="s">
        <v>66</v>
      </c>
      <c r="D503" s="8">
        <v>54462.93</v>
      </c>
      <c r="E503">
        <v>1100000</v>
      </c>
      <c r="F503" t="s">
        <v>22</v>
      </c>
      <c r="G503" t="s">
        <v>35</v>
      </c>
      <c r="H503" s="10">
        <v>27645</v>
      </c>
      <c r="I503" s="10" t="s">
        <v>115</v>
      </c>
      <c r="K503" t="s">
        <v>42</v>
      </c>
      <c r="L503" t="s">
        <v>294</v>
      </c>
      <c r="N503" s="11" t="str">
        <f>Base_CRM[[#This Row],[Cidade]]&amp;"/"&amp;Base_CRM[[#This Row],[Estado]]</f>
        <v>BARUERI/</v>
      </c>
      <c r="O503" s="12">
        <f>IFERROR(IF(Base_CRM[[#This Row],[PL Tailor]]&gt;Base_CRM[[#This Row],[PL Declarado]],1,Base_CRM[[#This Row],[PL Tailor]]/Base_CRM[[#This Row],[PL Declarado]]),0)</f>
        <v>4.9511754545454548E-2</v>
      </c>
      <c r="P503" s="11" t="str">
        <f>IF(Base_CRM[[#This Row],[Estado Civil]]="","PESSOA JURÍDICA","PESSOA FÍSICA")</f>
        <v>PESSOA FÍSICA</v>
      </c>
      <c r="Q503" t="str">
        <f>_xlfn.XLOOKUP(Base_CRM[[#This Row],[Cód do Cliente]],'[1]F &amp; O'!$A:$A,'[1]F &amp; O'!$F:$F,_xlfn.XLOOKUP(Base_CRM[[#This Row],[Assessor]],[1]DePara!$A:$A,[1]DePara!$D:$D,"Outros",0,1),0,1)</f>
        <v>Caroline Vlavianos</v>
      </c>
      <c r="R503" s="11" t="str">
        <f>_xlfn.XLOOKUP(Base_CRM[[#This Row],[Cód do Cliente]],'[1]F &amp; O'!$A:$A,'[1]F &amp; O'!D:D,"Sem Finder",0,1)</f>
        <v>Sem Finder</v>
      </c>
      <c r="S503" s="11" t="str">
        <f>_xlfn.XLOOKUP(Base_CRM[[#This Row],[Cód do Cliente]],'[1]F &amp; O'!$A:$A,'[1]F &amp; O'!E:E,"Sem Canal",0,1)</f>
        <v>Sem Canal</v>
      </c>
      <c r="T503" s="11" t="str">
        <f t="shared" si="7"/>
        <v>Cliente XP</v>
      </c>
    </row>
    <row r="504" spans="1:20" x14ac:dyDescent="0.3">
      <c r="A504">
        <v>5541374</v>
      </c>
      <c r="B504" s="8" t="s">
        <v>1152</v>
      </c>
      <c r="C504" s="9" t="s">
        <v>74</v>
      </c>
      <c r="D504" s="8">
        <v>154533.03</v>
      </c>
      <c r="E504">
        <v>500</v>
      </c>
      <c r="F504" t="s">
        <v>29</v>
      </c>
      <c r="G504" t="s">
        <v>67</v>
      </c>
      <c r="H504" s="10">
        <v>37583</v>
      </c>
      <c r="I504" s="10" t="s">
        <v>24</v>
      </c>
      <c r="K504" t="s">
        <v>25</v>
      </c>
      <c r="L504" t="s">
        <v>1153</v>
      </c>
      <c r="N504" s="11" t="str">
        <f>Base_CRM[[#This Row],[Cidade]]&amp;"/"&amp;Base_CRM[[#This Row],[Estado]]</f>
        <v>RIO DE JANEIRO/</v>
      </c>
      <c r="O504" s="12">
        <f>IFERROR(IF(Base_CRM[[#This Row],[PL Tailor]]&gt;Base_CRM[[#This Row],[PL Declarado]],1,Base_CRM[[#This Row],[PL Tailor]]/Base_CRM[[#This Row],[PL Declarado]]),0)</f>
        <v>1</v>
      </c>
      <c r="P504" s="11" t="str">
        <f>IF(Base_CRM[[#This Row],[Estado Civil]]="","PESSOA JURÍDICA","PESSOA FÍSICA")</f>
        <v>PESSOA FÍSICA</v>
      </c>
      <c r="Q504" t="str">
        <f>_xlfn.XLOOKUP(Base_CRM[[#This Row],[Cód do Cliente]],'[1]F &amp; O'!$A:$A,'[1]F &amp; O'!$F:$F,_xlfn.XLOOKUP(Base_CRM[[#This Row],[Assessor]],[1]DePara!$A:$A,[1]DePara!$D:$D,"Outros",0,1),0,1)</f>
        <v>Thayane Freitas</v>
      </c>
      <c r="R504" s="11" t="str">
        <f>_xlfn.XLOOKUP(Base_CRM[[#This Row],[Cód do Cliente]],'[1]F &amp; O'!$A:$A,'[1]F &amp; O'!D:D,"Sem Finder",0,1)</f>
        <v>Sem Finder</v>
      </c>
      <c r="S504" s="11" t="str">
        <f>_xlfn.XLOOKUP(Base_CRM[[#This Row],[Cód do Cliente]],'[1]F &amp; O'!$A:$A,'[1]F &amp; O'!E:E,"Sem Canal",0,1)</f>
        <v>Sem Canal</v>
      </c>
      <c r="T504" s="11" t="str">
        <f t="shared" si="7"/>
        <v>Cliente XP</v>
      </c>
    </row>
    <row r="505" spans="1:20" x14ac:dyDescent="0.3">
      <c r="A505">
        <v>5579130</v>
      </c>
      <c r="B505" s="8" t="s">
        <v>1154</v>
      </c>
      <c r="C505" s="9" t="s">
        <v>39</v>
      </c>
      <c r="D505" s="8">
        <v>903678.43</v>
      </c>
      <c r="E505">
        <v>1000000</v>
      </c>
      <c r="F505" t="s">
        <v>40</v>
      </c>
      <c r="G505" t="s">
        <v>177</v>
      </c>
      <c r="H505" s="10">
        <v>32836</v>
      </c>
      <c r="I505" s="10" t="s">
        <v>31</v>
      </c>
      <c r="K505" t="s">
        <v>42</v>
      </c>
      <c r="L505" t="s">
        <v>1155</v>
      </c>
      <c r="N505" s="11" t="str">
        <f>Base_CRM[[#This Row],[Cidade]]&amp;"/"&amp;Base_CRM[[#This Row],[Estado]]</f>
        <v>SAO PAULO/</v>
      </c>
      <c r="O505" s="12">
        <f>IFERROR(IF(Base_CRM[[#This Row],[PL Tailor]]&gt;Base_CRM[[#This Row],[PL Declarado]],1,Base_CRM[[#This Row],[PL Tailor]]/Base_CRM[[#This Row],[PL Declarado]]),0)</f>
        <v>0.90367843000000003</v>
      </c>
      <c r="P505" s="11" t="str">
        <f>IF(Base_CRM[[#This Row],[Estado Civil]]="","PESSOA JURÍDICA","PESSOA FÍSICA")</f>
        <v>PESSOA FÍSICA</v>
      </c>
      <c r="Q505" t="str">
        <f>_xlfn.XLOOKUP(Base_CRM[[#This Row],[Cód do Cliente]],'[1]F &amp; O'!$A:$A,'[1]F &amp; O'!$F:$F,_xlfn.XLOOKUP(Base_CRM[[#This Row],[Assessor]],[1]DePara!$A:$A,[1]DePara!$D:$D,"Outros",0,1),0,1)</f>
        <v>Gestora</v>
      </c>
      <c r="R505" s="11" t="str">
        <f>_xlfn.XLOOKUP(Base_CRM[[#This Row],[Cód do Cliente]],'[1]F &amp; O'!$A:$A,'[1]F &amp; O'!D:D,"Sem Finder",0,1)</f>
        <v>Sem Finder</v>
      </c>
      <c r="S505" s="11" t="str">
        <f>_xlfn.XLOOKUP(Base_CRM[[#This Row],[Cód do Cliente]],'[1]F &amp; O'!$A:$A,'[1]F &amp; O'!E:E,"Sem Canal",0,1)</f>
        <v>Gestora</v>
      </c>
      <c r="T505" s="11" t="str">
        <f t="shared" si="7"/>
        <v>Cliente XP</v>
      </c>
    </row>
    <row r="506" spans="1:20" x14ac:dyDescent="0.3">
      <c r="A506">
        <v>558188</v>
      </c>
      <c r="B506" s="8" t="s">
        <v>1156</v>
      </c>
      <c r="C506" s="9" t="s">
        <v>34</v>
      </c>
      <c r="D506" s="8">
        <v>256222.76</v>
      </c>
      <c r="E506">
        <v>1000000</v>
      </c>
      <c r="F506" t="s">
        <v>22</v>
      </c>
      <c r="G506" t="s">
        <v>127</v>
      </c>
      <c r="H506" s="10">
        <v>23322</v>
      </c>
      <c r="I506" s="10" t="s">
        <v>31</v>
      </c>
      <c r="K506" t="s">
        <v>42</v>
      </c>
      <c r="L506" t="s">
        <v>1157</v>
      </c>
      <c r="N506" s="11" t="str">
        <f>Base_CRM[[#This Row],[Cidade]]&amp;"/"&amp;Base_CRM[[#This Row],[Estado]]</f>
        <v>SAO PAULO/</v>
      </c>
      <c r="O506" s="12">
        <f>IFERROR(IF(Base_CRM[[#This Row],[PL Tailor]]&gt;Base_CRM[[#This Row],[PL Declarado]],1,Base_CRM[[#This Row],[PL Tailor]]/Base_CRM[[#This Row],[PL Declarado]]),0)</f>
        <v>0.25622275999999999</v>
      </c>
      <c r="P506" s="11" t="str">
        <f>IF(Base_CRM[[#This Row],[Estado Civil]]="","PESSOA JURÍDICA","PESSOA FÍSICA")</f>
        <v>PESSOA FÍSICA</v>
      </c>
      <c r="Q506" t="str">
        <f>_xlfn.XLOOKUP(Base_CRM[[#This Row],[Cód do Cliente]],'[1]F &amp; O'!$A:$A,'[1]F &amp; O'!$F:$F,_xlfn.XLOOKUP(Base_CRM[[#This Row],[Assessor]],[1]DePara!$A:$A,[1]DePara!$D:$D,"Outros",0,1),0,1)</f>
        <v>Adonias Noronha</v>
      </c>
      <c r="R506" s="11" t="str">
        <f>_xlfn.XLOOKUP(Base_CRM[[#This Row],[Cód do Cliente]],'[1]F &amp; O'!$A:$A,'[1]F &amp; O'!D:D,"Sem Finder",0,1)</f>
        <v>Sem Finder</v>
      </c>
      <c r="S506" s="11" t="str">
        <f>_xlfn.XLOOKUP(Base_CRM[[#This Row],[Cód do Cliente]],'[1]F &amp; O'!$A:$A,'[1]F &amp; O'!E:E,"Sem Canal",0,1)</f>
        <v>Camila Corrêa</v>
      </c>
      <c r="T506" s="11" t="str">
        <f t="shared" si="7"/>
        <v>Cliente XP</v>
      </c>
    </row>
    <row r="507" spans="1:20" x14ac:dyDescent="0.3">
      <c r="A507">
        <v>5583578</v>
      </c>
      <c r="B507" s="8" t="s">
        <v>1158</v>
      </c>
      <c r="C507" s="9" t="s">
        <v>21</v>
      </c>
      <c r="D507" s="8">
        <v>7974056.8499999996</v>
      </c>
      <c r="E507">
        <v>10000000</v>
      </c>
      <c r="F507" t="s">
        <v>29</v>
      </c>
      <c r="G507" t="s">
        <v>1159</v>
      </c>
      <c r="H507" s="10">
        <v>22219</v>
      </c>
      <c r="I507" s="10" t="s">
        <v>24</v>
      </c>
      <c r="K507" t="s">
        <v>68</v>
      </c>
      <c r="L507" t="s">
        <v>1160</v>
      </c>
      <c r="N507" s="11" t="str">
        <f>Base_CRM[[#This Row],[Cidade]]&amp;"/"&amp;Base_CRM[[#This Row],[Estado]]</f>
        <v>RIO DE JANEIRO/</v>
      </c>
      <c r="O507" s="12">
        <f>IFERROR(IF(Base_CRM[[#This Row],[PL Tailor]]&gt;Base_CRM[[#This Row],[PL Declarado]],1,Base_CRM[[#This Row],[PL Tailor]]/Base_CRM[[#This Row],[PL Declarado]]),0)</f>
        <v>0.79740568499999998</v>
      </c>
      <c r="P507" s="11" t="str">
        <f>IF(Base_CRM[[#This Row],[Estado Civil]]="","PESSOA JURÍDICA","PESSOA FÍSICA")</f>
        <v>PESSOA FÍSICA</v>
      </c>
      <c r="Q507" t="str">
        <f>_xlfn.XLOOKUP(Base_CRM[[#This Row],[Cód do Cliente]],'[1]F &amp; O'!$A:$A,'[1]F &amp; O'!$F:$F,_xlfn.XLOOKUP(Base_CRM[[#This Row],[Assessor]],[1]DePara!$A:$A,[1]DePara!$D:$D,"Outros",0,1),0,1)</f>
        <v>Leonardo Burle</v>
      </c>
      <c r="R507" s="11" t="str">
        <f>_xlfn.XLOOKUP(Base_CRM[[#This Row],[Cód do Cliente]],'[1]F &amp; O'!$A:$A,'[1]F &amp; O'!D:D,"Sem Finder",0,1)</f>
        <v>Frederico Dantas</v>
      </c>
      <c r="S507" s="11" t="str">
        <f>_xlfn.XLOOKUP(Base_CRM[[#This Row],[Cód do Cliente]],'[1]F &amp; O'!$A:$A,'[1]F &amp; O'!E:E,"Sem Canal",0,1)</f>
        <v>Sem Canal</v>
      </c>
      <c r="T507" s="11" t="str">
        <f t="shared" si="7"/>
        <v>Cliente XP</v>
      </c>
    </row>
    <row r="508" spans="1:20" x14ac:dyDescent="0.3">
      <c r="A508">
        <v>5591544</v>
      </c>
      <c r="B508" s="8" t="s">
        <v>1161</v>
      </c>
      <c r="C508" s="9" t="s">
        <v>39</v>
      </c>
      <c r="D508" s="8">
        <v>83822.36</v>
      </c>
      <c r="E508">
        <v>68468.28</v>
      </c>
      <c r="F508" t="s">
        <v>40</v>
      </c>
      <c r="G508" t="s">
        <v>87</v>
      </c>
      <c r="H508" s="10">
        <v>24675</v>
      </c>
      <c r="I508" s="10" t="s">
        <v>31</v>
      </c>
      <c r="K508" t="s">
        <v>68</v>
      </c>
      <c r="L508" t="s">
        <v>1162</v>
      </c>
      <c r="N508" s="11" t="str">
        <f>Base_CRM[[#This Row],[Cidade]]&amp;"/"&amp;Base_CRM[[#This Row],[Estado]]</f>
        <v>SAO PAULO/</v>
      </c>
      <c r="O508" s="12">
        <f>IFERROR(IF(Base_CRM[[#This Row],[PL Tailor]]&gt;Base_CRM[[#This Row],[PL Declarado]],1,Base_CRM[[#This Row],[PL Tailor]]/Base_CRM[[#This Row],[PL Declarado]]),0)</f>
        <v>1</v>
      </c>
      <c r="P508" s="11" t="str">
        <f>IF(Base_CRM[[#This Row],[Estado Civil]]="","PESSOA JURÍDICA","PESSOA FÍSICA")</f>
        <v>PESSOA FÍSICA</v>
      </c>
      <c r="Q508" t="str">
        <f>_xlfn.XLOOKUP(Base_CRM[[#This Row],[Cód do Cliente]],'[1]F &amp; O'!$A:$A,'[1]F &amp; O'!$F:$F,_xlfn.XLOOKUP(Base_CRM[[#This Row],[Assessor]],[1]DePara!$A:$A,[1]DePara!$D:$D,"Outros",0,1),0,1)</f>
        <v>Gestora</v>
      </c>
      <c r="R508" s="11" t="str">
        <f>_xlfn.XLOOKUP(Base_CRM[[#This Row],[Cód do Cliente]],'[1]F &amp; O'!$A:$A,'[1]F &amp; O'!D:D,"Sem Finder",0,1)</f>
        <v>Sem Finder</v>
      </c>
      <c r="S508" s="11" t="str">
        <f>_xlfn.XLOOKUP(Base_CRM[[#This Row],[Cód do Cliente]],'[1]F &amp; O'!$A:$A,'[1]F &amp; O'!E:E,"Sem Canal",0,1)</f>
        <v>Gestora</v>
      </c>
      <c r="T508" s="11" t="str">
        <f t="shared" si="7"/>
        <v>Cliente XP</v>
      </c>
    </row>
    <row r="509" spans="1:20" x14ac:dyDescent="0.3">
      <c r="A509">
        <v>5603069</v>
      </c>
      <c r="B509" s="8" t="s">
        <v>1163</v>
      </c>
      <c r="C509" s="9" t="s">
        <v>74</v>
      </c>
      <c r="D509" s="8">
        <v>25481.87</v>
      </c>
      <c r="E509">
        <v>5000</v>
      </c>
      <c r="F509" t="s">
        <v>22</v>
      </c>
      <c r="G509" t="s">
        <v>30</v>
      </c>
      <c r="H509" s="10">
        <v>24570</v>
      </c>
      <c r="I509" s="10" t="s">
        <v>62</v>
      </c>
      <c r="K509" t="s">
        <v>68</v>
      </c>
      <c r="L509" t="s">
        <v>1164</v>
      </c>
      <c r="N509" s="11" t="str">
        <f>Base_CRM[[#This Row],[Cidade]]&amp;"/"&amp;Base_CRM[[#This Row],[Estado]]</f>
        <v>Rio de Janeiro/</v>
      </c>
      <c r="O509" s="12">
        <f>IFERROR(IF(Base_CRM[[#This Row],[PL Tailor]]&gt;Base_CRM[[#This Row],[PL Declarado]],1,Base_CRM[[#This Row],[PL Tailor]]/Base_CRM[[#This Row],[PL Declarado]]),0)</f>
        <v>1</v>
      </c>
      <c r="P509" s="11" t="str">
        <f>IF(Base_CRM[[#This Row],[Estado Civil]]="","PESSOA JURÍDICA","PESSOA FÍSICA")</f>
        <v>PESSOA FÍSICA</v>
      </c>
      <c r="Q509" t="str">
        <f>_xlfn.XLOOKUP(Base_CRM[[#This Row],[Cód do Cliente]],'[1]F &amp; O'!$A:$A,'[1]F &amp; O'!$F:$F,_xlfn.XLOOKUP(Base_CRM[[#This Row],[Assessor]],[1]DePara!$A:$A,[1]DePara!$D:$D,"Outros",0,1),0,1)</f>
        <v>Thayane Freitas</v>
      </c>
      <c r="R509" s="11" t="str">
        <f>_xlfn.XLOOKUP(Base_CRM[[#This Row],[Cód do Cliente]],'[1]F &amp; O'!$A:$A,'[1]F &amp; O'!D:D,"Sem Finder",0,1)</f>
        <v>Sem Finder</v>
      </c>
      <c r="S509" s="11" t="str">
        <f>_xlfn.XLOOKUP(Base_CRM[[#This Row],[Cód do Cliente]],'[1]F &amp; O'!$A:$A,'[1]F &amp; O'!E:E,"Sem Canal",0,1)</f>
        <v>Sem Canal</v>
      </c>
      <c r="T509" s="11" t="str">
        <f t="shared" si="7"/>
        <v>Cliente XP</v>
      </c>
    </row>
    <row r="510" spans="1:20" x14ac:dyDescent="0.3">
      <c r="A510">
        <v>5617962</v>
      </c>
      <c r="B510" s="8" t="s">
        <v>1165</v>
      </c>
      <c r="C510" s="9" t="s">
        <v>21</v>
      </c>
      <c r="D510" s="8">
        <v>1148806.78</v>
      </c>
      <c r="E510">
        <v>3500000</v>
      </c>
      <c r="F510" t="s">
        <v>22</v>
      </c>
      <c r="G510" t="s">
        <v>30</v>
      </c>
      <c r="H510" s="10">
        <v>31867</v>
      </c>
      <c r="I510" s="10" t="s">
        <v>24</v>
      </c>
      <c r="K510" t="s">
        <v>25</v>
      </c>
      <c r="L510" t="s">
        <v>1166</v>
      </c>
      <c r="N510" s="11" t="str">
        <f>Base_CRM[[#This Row],[Cidade]]&amp;"/"&amp;Base_CRM[[#This Row],[Estado]]</f>
        <v>RIO DE JANEIRO/</v>
      </c>
      <c r="O510" s="12">
        <f>IFERROR(IF(Base_CRM[[#This Row],[PL Tailor]]&gt;Base_CRM[[#This Row],[PL Declarado]],1,Base_CRM[[#This Row],[PL Tailor]]/Base_CRM[[#This Row],[PL Declarado]]),0)</f>
        <v>0.3282305085714286</v>
      </c>
      <c r="P510" s="11" t="str">
        <f>IF(Base_CRM[[#This Row],[Estado Civil]]="","PESSOA JURÍDICA","PESSOA FÍSICA")</f>
        <v>PESSOA FÍSICA</v>
      </c>
      <c r="Q510" t="str">
        <f>_xlfn.XLOOKUP(Base_CRM[[#This Row],[Cód do Cliente]],'[1]F &amp; O'!$A:$A,'[1]F &amp; O'!$F:$F,_xlfn.XLOOKUP(Base_CRM[[#This Row],[Assessor]],[1]DePara!$A:$A,[1]DePara!$D:$D,"Outros",0,1),0,1)</f>
        <v>Leonardo Burle</v>
      </c>
      <c r="R510" s="11" t="str">
        <f>_xlfn.XLOOKUP(Base_CRM[[#This Row],[Cód do Cliente]],'[1]F &amp; O'!$A:$A,'[1]F &amp; O'!D:D,"Sem Finder",0,1)</f>
        <v>Sem Finder</v>
      </c>
      <c r="S510" s="11" t="str">
        <f>_xlfn.XLOOKUP(Base_CRM[[#This Row],[Cód do Cliente]],'[1]F &amp; O'!$A:$A,'[1]F &amp; O'!E:E,"Sem Canal",0,1)</f>
        <v>Sem Canal</v>
      </c>
      <c r="T510" s="11" t="str">
        <f t="shared" si="7"/>
        <v>Cliente XP</v>
      </c>
    </row>
    <row r="511" spans="1:20" x14ac:dyDescent="0.3">
      <c r="A511">
        <v>5627349</v>
      </c>
      <c r="B511" s="8" t="s">
        <v>1167</v>
      </c>
      <c r="C511" s="9" t="s">
        <v>74</v>
      </c>
      <c r="D511" s="8">
        <v>12874.47</v>
      </c>
      <c r="E511">
        <v>500000</v>
      </c>
      <c r="F511" t="s">
        <v>40</v>
      </c>
      <c r="G511" t="s">
        <v>23</v>
      </c>
      <c r="H511" s="10">
        <v>21795</v>
      </c>
      <c r="I511" s="10" t="s">
        <v>223</v>
      </c>
      <c r="K511" t="s">
        <v>42</v>
      </c>
      <c r="L511" t="s">
        <v>1168</v>
      </c>
      <c r="N511" s="11" t="str">
        <f>Base_CRM[[#This Row],[Cidade]]&amp;"/"&amp;Base_CRM[[#This Row],[Estado]]</f>
        <v>PETROPOLIS/</v>
      </c>
      <c r="O511" s="12">
        <f>IFERROR(IF(Base_CRM[[#This Row],[PL Tailor]]&gt;Base_CRM[[#This Row],[PL Declarado]],1,Base_CRM[[#This Row],[PL Tailor]]/Base_CRM[[#This Row],[PL Declarado]]),0)</f>
        <v>2.5748939999999998E-2</v>
      </c>
      <c r="P511" s="11" t="str">
        <f>IF(Base_CRM[[#This Row],[Estado Civil]]="","PESSOA JURÍDICA","PESSOA FÍSICA")</f>
        <v>PESSOA FÍSICA</v>
      </c>
      <c r="Q511" t="str">
        <f>_xlfn.XLOOKUP(Base_CRM[[#This Row],[Cód do Cliente]],'[1]F &amp; O'!$A:$A,'[1]F &amp; O'!$F:$F,_xlfn.XLOOKUP(Base_CRM[[#This Row],[Assessor]],[1]DePara!$A:$A,[1]DePara!$D:$D,"Outros",0,1),0,1)</f>
        <v>Thayane Freitas</v>
      </c>
      <c r="R511" s="11" t="str">
        <f>_xlfn.XLOOKUP(Base_CRM[[#This Row],[Cód do Cliente]],'[1]F &amp; O'!$A:$A,'[1]F &amp; O'!D:D,"Sem Finder",0,1)</f>
        <v>Sem Finder</v>
      </c>
      <c r="S511" s="11" t="str">
        <f>_xlfn.XLOOKUP(Base_CRM[[#This Row],[Cód do Cliente]],'[1]F &amp; O'!$A:$A,'[1]F &amp; O'!E:E,"Sem Canal",0,1)</f>
        <v>Sem Canal</v>
      </c>
      <c r="T511" s="11" t="str">
        <f t="shared" si="7"/>
        <v>Cliente XP</v>
      </c>
    </row>
    <row r="512" spans="1:20" x14ac:dyDescent="0.3">
      <c r="A512">
        <v>5627913</v>
      </c>
      <c r="B512" s="8" t="s">
        <v>1163</v>
      </c>
      <c r="C512" s="9" t="s">
        <v>21</v>
      </c>
      <c r="D512" s="8">
        <v>0</v>
      </c>
      <c r="E512">
        <v>5000</v>
      </c>
      <c r="F512" t="s">
        <v>22</v>
      </c>
      <c r="G512" t="s">
        <v>30</v>
      </c>
      <c r="H512" s="10">
        <v>24570</v>
      </c>
      <c r="I512" s="10" t="s">
        <v>62</v>
      </c>
      <c r="K512" t="s">
        <v>68</v>
      </c>
      <c r="L512" t="s">
        <v>1164</v>
      </c>
      <c r="N512" s="11" t="str">
        <f>Base_CRM[[#This Row],[Cidade]]&amp;"/"&amp;Base_CRM[[#This Row],[Estado]]</f>
        <v>Rio de Janeiro/</v>
      </c>
      <c r="O512" s="12">
        <f>IFERROR(IF(Base_CRM[[#This Row],[PL Tailor]]&gt;Base_CRM[[#This Row],[PL Declarado]],1,Base_CRM[[#This Row],[PL Tailor]]/Base_CRM[[#This Row],[PL Declarado]]),0)</f>
        <v>0</v>
      </c>
      <c r="P512" s="11" t="str">
        <f>IF(Base_CRM[[#This Row],[Estado Civil]]="","PESSOA JURÍDICA","PESSOA FÍSICA")</f>
        <v>PESSOA FÍSICA</v>
      </c>
      <c r="Q512" t="str">
        <f>_xlfn.XLOOKUP(Base_CRM[[#This Row],[Cód do Cliente]],'[1]F &amp; O'!$A:$A,'[1]F &amp; O'!$F:$F,_xlfn.XLOOKUP(Base_CRM[[#This Row],[Assessor]],[1]DePara!$A:$A,[1]DePara!$D:$D,"Outros",0,1),0,1)</f>
        <v>Leonardo Burle</v>
      </c>
      <c r="R512" s="11" t="str">
        <f>_xlfn.XLOOKUP(Base_CRM[[#This Row],[Cód do Cliente]],'[1]F &amp; O'!$A:$A,'[1]F &amp; O'!D:D,"Sem Finder",0,1)</f>
        <v>Sem Finder</v>
      </c>
      <c r="S512" s="11" t="str">
        <f>_xlfn.XLOOKUP(Base_CRM[[#This Row],[Cód do Cliente]],'[1]F &amp; O'!$A:$A,'[1]F &amp; O'!E:E,"Sem Canal",0,1)</f>
        <v>Sem Canal</v>
      </c>
      <c r="T512" s="11" t="str">
        <f t="shared" si="7"/>
        <v>Cliente XP</v>
      </c>
    </row>
    <row r="513" spans="1:20" x14ac:dyDescent="0.3">
      <c r="A513">
        <v>564050</v>
      </c>
      <c r="B513" s="8" t="s">
        <v>1169</v>
      </c>
      <c r="C513" s="9" t="s">
        <v>48</v>
      </c>
      <c r="D513" s="8">
        <v>1752831.74</v>
      </c>
      <c r="E513">
        <v>9000000</v>
      </c>
      <c r="F513" t="s">
        <v>22</v>
      </c>
      <c r="G513" t="s">
        <v>96</v>
      </c>
      <c r="H513" s="10">
        <v>27689</v>
      </c>
      <c r="I513" s="10" t="s">
        <v>315</v>
      </c>
      <c r="K513" t="s">
        <v>42</v>
      </c>
      <c r="L513" t="s">
        <v>1170</v>
      </c>
      <c r="N513" s="11" t="str">
        <f>Base_CRM[[#This Row],[Cidade]]&amp;"/"&amp;Base_CRM[[#This Row],[Estado]]</f>
        <v>Niterói/</v>
      </c>
      <c r="O513" s="12">
        <f>IFERROR(IF(Base_CRM[[#This Row],[PL Tailor]]&gt;Base_CRM[[#This Row],[PL Declarado]],1,Base_CRM[[#This Row],[PL Tailor]]/Base_CRM[[#This Row],[PL Declarado]]),0)</f>
        <v>0.19475908222222221</v>
      </c>
      <c r="P513" s="11" t="str">
        <f>IF(Base_CRM[[#This Row],[Estado Civil]]="","PESSOA JURÍDICA","PESSOA FÍSICA")</f>
        <v>PESSOA FÍSICA</v>
      </c>
      <c r="Q513" t="str">
        <f>_xlfn.XLOOKUP(Base_CRM[[#This Row],[Cód do Cliente]],'[1]F &amp; O'!$A:$A,'[1]F &amp; O'!$F:$F,_xlfn.XLOOKUP(Base_CRM[[#This Row],[Assessor]],[1]DePara!$A:$A,[1]DePara!$D:$D,"Outros",0,1),0,1)</f>
        <v>Raphael Farias</v>
      </c>
      <c r="R513" s="11" t="str">
        <f>_xlfn.XLOOKUP(Base_CRM[[#This Row],[Cód do Cliente]],'[1]F &amp; O'!$A:$A,'[1]F &amp; O'!D:D,"Sem Finder",0,1)</f>
        <v>Frederico Dantas</v>
      </c>
      <c r="S513" s="11" t="str">
        <f>_xlfn.XLOOKUP(Base_CRM[[#This Row],[Cód do Cliente]],'[1]F &amp; O'!$A:$A,'[1]F &amp; O'!E:E,"Sem Canal",0,1)</f>
        <v>Sem Canal</v>
      </c>
      <c r="T513" s="11" t="str">
        <f t="shared" si="7"/>
        <v>Cliente XP</v>
      </c>
    </row>
    <row r="514" spans="1:20" x14ac:dyDescent="0.3">
      <c r="A514">
        <v>5659371</v>
      </c>
      <c r="B514" s="8" t="s">
        <v>1171</v>
      </c>
      <c r="C514" s="9" t="s">
        <v>39</v>
      </c>
      <c r="D514" s="8">
        <v>259549.22</v>
      </c>
      <c r="E514">
        <v>1100000</v>
      </c>
      <c r="F514" t="s">
        <v>29</v>
      </c>
      <c r="G514" t="s">
        <v>96</v>
      </c>
      <c r="H514" s="10">
        <v>34653</v>
      </c>
      <c r="I514" s="10" t="s">
        <v>24</v>
      </c>
      <c r="K514" t="s">
        <v>25</v>
      </c>
      <c r="L514" t="s">
        <v>1172</v>
      </c>
      <c r="N514" s="11" t="str">
        <f>Base_CRM[[#This Row],[Cidade]]&amp;"/"&amp;Base_CRM[[#This Row],[Estado]]</f>
        <v>RIO DE JANEIRO/</v>
      </c>
      <c r="O514" s="12">
        <f>IFERROR(IF(Base_CRM[[#This Row],[PL Tailor]]&gt;Base_CRM[[#This Row],[PL Declarado]],1,Base_CRM[[#This Row],[PL Tailor]]/Base_CRM[[#This Row],[PL Declarado]]),0)</f>
        <v>0.23595383636363637</v>
      </c>
      <c r="P514" s="11" t="str">
        <f>IF(Base_CRM[[#This Row],[Estado Civil]]="","PESSOA JURÍDICA","PESSOA FÍSICA")</f>
        <v>PESSOA FÍSICA</v>
      </c>
      <c r="Q514" t="str">
        <f>_xlfn.XLOOKUP(Base_CRM[[#This Row],[Cód do Cliente]],'[1]F &amp; O'!$A:$A,'[1]F &amp; O'!$F:$F,_xlfn.XLOOKUP(Base_CRM[[#This Row],[Assessor]],[1]DePara!$A:$A,[1]DePara!$D:$D,"Outros",0,1),0,1)</f>
        <v>Gestora</v>
      </c>
      <c r="R514" s="11" t="str">
        <f>_xlfn.XLOOKUP(Base_CRM[[#This Row],[Cód do Cliente]],'[1]F &amp; O'!$A:$A,'[1]F &amp; O'!D:D,"Sem Finder",0,1)</f>
        <v>Pedro Chagas</v>
      </c>
      <c r="S514" s="11" t="str">
        <f>_xlfn.XLOOKUP(Base_CRM[[#This Row],[Cód do Cliente]],'[1]F &amp; O'!$A:$A,'[1]F &amp; O'!E:E,"Sem Canal",0,1)</f>
        <v>Gestora</v>
      </c>
      <c r="T514" s="11" t="str">
        <f t="shared" ref="T514:T577" si="8">"Cliente XP"</f>
        <v>Cliente XP</v>
      </c>
    </row>
    <row r="515" spans="1:20" x14ac:dyDescent="0.3">
      <c r="A515">
        <v>5680202</v>
      </c>
      <c r="B515" s="8" t="s">
        <v>1173</v>
      </c>
      <c r="C515" s="9" t="s">
        <v>74</v>
      </c>
      <c r="D515" s="8">
        <v>0</v>
      </c>
      <c r="E515">
        <v>5000</v>
      </c>
      <c r="F515" t="s">
        <v>29</v>
      </c>
      <c r="G515" t="s">
        <v>96</v>
      </c>
      <c r="H515" s="10">
        <v>32640</v>
      </c>
      <c r="I515" s="10" t="s">
        <v>31</v>
      </c>
      <c r="K515" t="s">
        <v>42</v>
      </c>
      <c r="L515" t="s">
        <v>1174</v>
      </c>
      <c r="N515" s="11" t="str">
        <f>Base_CRM[[#This Row],[Cidade]]&amp;"/"&amp;Base_CRM[[#This Row],[Estado]]</f>
        <v>SAO PAULO/</v>
      </c>
      <c r="O515" s="12">
        <f>IFERROR(IF(Base_CRM[[#This Row],[PL Tailor]]&gt;Base_CRM[[#This Row],[PL Declarado]],1,Base_CRM[[#This Row],[PL Tailor]]/Base_CRM[[#This Row],[PL Declarado]]),0)</f>
        <v>0</v>
      </c>
      <c r="P515" s="11" t="str">
        <f>IF(Base_CRM[[#This Row],[Estado Civil]]="","PESSOA JURÍDICA","PESSOA FÍSICA")</f>
        <v>PESSOA FÍSICA</v>
      </c>
      <c r="Q515" t="str">
        <f>_xlfn.XLOOKUP(Base_CRM[[#This Row],[Cód do Cliente]],'[1]F &amp; O'!$A:$A,'[1]F &amp; O'!$F:$F,_xlfn.XLOOKUP(Base_CRM[[#This Row],[Assessor]],[1]DePara!$A:$A,[1]DePara!$D:$D,"Outros",0,1),0,1)</f>
        <v>Thayane Freitas</v>
      </c>
      <c r="R515" s="11" t="str">
        <f>_xlfn.XLOOKUP(Base_CRM[[#This Row],[Cód do Cliente]],'[1]F &amp; O'!$A:$A,'[1]F &amp; O'!D:D,"Sem Finder",0,1)</f>
        <v>Sem Finder</v>
      </c>
      <c r="S515" s="11" t="str">
        <f>_xlfn.XLOOKUP(Base_CRM[[#This Row],[Cód do Cliente]],'[1]F &amp; O'!$A:$A,'[1]F &amp; O'!E:E,"Sem Canal",0,1)</f>
        <v>Sem Canal</v>
      </c>
      <c r="T515" s="11" t="str">
        <f t="shared" si="8"/>
        <v>Cliente XP</v>
      </c>
    </row>
    <row r="516" spans="1:20" x14ac:dyDescent="0.3">
      <c r="A516">
        <v>5687074</v>
      </c>
      <c r="B516" s="8" t="s">
        <v>1175</v>
      </c>
      <c r="C516" s="9" t="s">
        <v>34</v>
      </c>
      <c r="D516" s="8">
        <v>465369.86</v>
      </c>
      <c r="E516">
        <v>1000000</v>
      </c>
      <c r="F516" t="s">
        <v>29</v>
      </c>
      <c r="G516" t="s">
        <v>87</v>
      </c>
      <c r="H516" s="10">
        <v>18478</v>
      </c>
      <c r="I516" s="10" t="s">
        <v>24</v>
      </c>
      <c r="K516" t="s">
        <v>42</v>
      </c>
      <c r="L516" t="s">
        <v>1176</v>
      </c>
      <c r="M516" t="s">
        <v>90</v>
      </c>
      <c r="N516" s="11" t="str">
        <f>Base_CRM[[#This Row],[Cidade]]&amp;"/"&amp;Base_CRM[[#This Row],[Estado]]</f>
        <v>RIO DE JANEIRO/</v>
      </c>
      <c r="O516" s="12">
        <f>IFERROR(IF(Base_CRM[[#This Row],[PL Tailor]]&gt;Base_CRM[[#This Row],[PL Declarado]],1,Base_CRM[[#This Row],[PL Tailor]]/Base_CRM[[#This Row],[PL Declarado]]),0)</f>
        <v>0.46536985999999997</v>
      </c>
      <c r="P516" s="11" t="str">
        <f>IF(Base_CRM[[#This Row],[Estado Civil]]="","PESSOA JURÍDICA","PESSOA FÍSICA")</f>
        <v>PESSOA FÍSICA</v>
      </c>
      <c r="Q516" t="str">
        <f>_xlfn.XLOOKUP(Base_CRM[[#This Row],[Cód do Cliente]],'[1]F &amp; O'!$A:$A,'[1]F &amp; O'!$F:$F,_xlfn.XLOOKUP(Base_CRM[[#This Row],[Assessor]],[1]DePara!$A:$A,[1]DePara!$D:$D,"Outros",0,1),0,1)</f>
        <v>Adonias Noronha</v>
      </c>
      <c r="R516" s="11" t="str">
        <f>_xlfn.XLOOKUP(Base_CRM[[#This Row],[Cód do Cliente]],'[1]F &amp; O'!$A:$A,'[1]F &amp; O'!D:D,"Sem Finder",0,1)</f>
        <v>Sem Finder</v>
      </c>
      <c r="S516" s="11" t="str">
        <f>_xlfn.XLOOKUP(Base_CRM[[#This Row],[Cód do Cliente]],'[1]F &amp; O'!$A:$A,'[1]F &amp; O'!E:E,"Sem Canal",0,1)</f>
        <v>Sem Canal</v>
      </c>
      <c r="T516" s="11" t="str">
        <f t="shared" si="8"/>
        <v>Cliente XP</v>
      </c>
    </row>
    <row r="517" spans="1:20" x14ac:dyDescent="0.3">
      <c r="A517">
        <v>5725270</v>
      </c>
      <c r="B517" s="8" t="s">
        <v>1177</v>
      </c>
      <c r="C517" s="9" t="s">
        <v>21</v>
      </c>
      <c r="D517" s="8">
        <v>1539727.9</v>
      </c>
      <c r="E517">
        <v>1400000</v>
      </c>
      <c r="F517" t="s">
        <v>22</v>
      </c>
      <c r="G517" t="s">
        <v>87</v>
      </c>
      <c r="H517" s="10">
        <v>30222</v>
      </c>
      <c r="I517" s="10" t="s">
        <v>24</v>
      </c>
      <c r="K517" t="s">
        <v>42</v>
      </c>
      <c r="L517" t="s">
        <v>1178</v>
      </c>
      <c r="M517" t="s">
        <v>1179</v>
      </c>
      <c r="N517" s="11" t="str">
        <f>Base_CRM[[#This Row],[Cidade]]&amp;"/"&amp;Base_CRM[[#This Row],[Estado]]</f>
        <v>RIO DE JANEIRO/</v>
      </c>
      <c r="O517" s="12">
        <f>IFERROR(IF(Base_CRM[[#This Row],[PL Tailor]]&gt;Base_CRM[[#This Row],[PL Declarado]],1,Base_CRM[[#This Row],[PL Tailor]]/Base_CRM[[#This Row],[PL Declarado]]),0)</f>
        <v>1</v>
      </c>
      <c r="P517" s="11" t="str">
        <f>IF(Base_CRM[[#This Row],[Estado Civil]]="","PESSOA JURÍDICA","PESSOA FÍSICA")</f>
        <v>PESSOA FÍSICA</v>
      </c>
      <c r="Q517" t="str">
        <f>_xlfn.XLOOKUP(Base_CRM[[#This Row],[Cód do Cliente]],'[1]F &amp; O'!$A:$A,'[1]F &amp; O'!$F:$F,_xlfn.XLOOKUP(Base_CRM[[#This Row],[Assessor]],[1]DePara!$A:$A,[1]DePara!$D:$D,"Outros",0,1),0,1)</f>
        <v>Leonardo Burle</v>
      </c>
      <c r="R517" s="11" t="str">
        <f>_xlfn.XLOOKUP(Base_CRM[[#This Row],[Cód do Cliente]],'[1]F &amp; O'!$A:$A,'[1]F &amp; O'!D:D,"Sem Finder",0,1)</f>
        <v>Sem Finder</v>
      </c>
      <c r="S517" s="11" t="str">
        <f>_xlfn.XLOOKUP(Base_CRM[[#This Row],[Cód do Cliente]],'[1]F &amp; O'!$A:$A,'[1]F &amp; O'!E:E,"Sem Canal",0,1)</f>
        <v>Sem Canal</v>
      </c>
      <c r="T517" s="11" t="str">
        <f t="shared" si="8"/>
        <v>Cliente XP</v>
      </c>
    </row>
    <row r="518" spans="1:20" x14ac:dyDescent="0.3">
      <c r="A518">
        <v>5730550</v>
      </c>
      <c r="B518" s="8" t="s">
        <v>1180</v>
      </c>
      <c r="C518" s="9" t="s">
        <v>34</v>
      </c>
      <c r="D518" s="8">
        <v>241736.82</v>
      </c>
      <c r="E518">
        <v>100000</v>
      </c>
      <c r="F518" t="s">
        <v>29</v>
      </c>
      <c r="G518" t="s">
        <v>71</v>
      </c>
      <c r="H518" s="10">
        <v>21993</v>
      </c>
      <c r="I518" s="10" t="s">
        <v>24</v>
      </c>
      <c r="K518" t="s">
        <v>25</v>
      </c>
      <c r="L518" t="s">
        <v>1181</v>
      </c>
      <c r="N518" s="11" t="str">
        <f>Base_CRM[[#This Row],[Cidade]]&amp;"/"&amp;Base_CRM[[#This Row],[Estado]]</f>
        <v>RIO DE JANEIRO/</v>
      </c>
      <c r="O518" s="12">
        <f>IFERROR(IF(Base_CRM[[#This Row],[PL Tailor]]&gt;Base_CRM[[#This Row],[PL Declarado]],1,Base_CRM[[#This Row],[PL Tailor]]/Base_CRM[[#This Row],[PL Declarado]]),0)</f>
        <v>1</v>
      </c>
      <c r="P518" s="11" t="str">
        <f>IF(Base_CRM[[#This Row],[Estado Civil]]="","PESSOA JURÍDICA","PESSOA FÍSICA")</f>
        <v>PESSOA FÍSICA</v>
      </c>
      <c r="Q518" t="str">
        <f>_xlfn.XLOOKUP(Base_CRM[[#This Row],[Cód do Cliente]],'[1]F &amp; O'!$A:$A,'[1]F &amp; O'!$F:$F,_xlfn.XLOOKUP(Base_CRM[[#This Row],[Assessor]],[1]DePara!$A:$A,[1]DePara!$D:$D,"Outros",0,1),0,1)</f>
        <v>Adonias Noronha</v>
      </c>
      <c r="R518" s="11" t="str">
        <f>_xlfn.XLOOKUP(Base_CRM[[#This Row],[Cód do Cliente]],'[1]F &amp; O'!$A:$A,'[1]F &amp; O'!D:D,"Sem Finder",0,1)</f>
        <v>Sem Finder</v>
      </c>
      <c r="S518" s="11" t="str">
        <f>_xlfn.XLOOKUP(Base_CRM[[#This Row],[Cód do Cliente]],'[1]F &amp; O'!$A:$A,'[1]F &amp; O'!E:E,"Sem Canal",0,1)</f>
        <v>Sem Canal</v>
      </c>
      <c r="T518" s="11" t="str">
        <f t="shared" si="8"/>
        <v>Cliente XP</v>
      </c>
    </row>
    <row r="519" spans="1:20" x14ac:dyDescent="0.3">
      <c r="A519">
        <v>5732888</v>
      </c>
      <c r="B519" s="8" t="s">
        <v>1182</v>
      </c>
      <c r="C519" s="9" t="s">
        <v>21</v>
      </c>
      <c r="D519" s="8">
        <v>2226782.33</v>
      </c>
      <c r="E519">
        <v>1500000</v>
      </c>
      <c r="F519" t="s">
        <v>22</v>
      </c>
      <c r="G519" t="s">
        <v>71</v>
      </c>
      <c r="H519" s="10">
        <v>27832</v>
      </c>
      <c r="I519" s="10" t="s">
        <v>62</v>
      </c>
      <c r="K519" t="s">
        <v>25</v>
      </c>
      <c r="L519" t="s">
        <v>1183</v>
      </c>
      <c r="M519" t="s">
        <v>891</v>
      </c>
      <c r="N519" s="11" t="str">
        <f>Base_CRM[[#This Row],[Cidade]]&amp;"/"&amp;Base_CRM[[#This Row],[Estado]]</f>
        <v>Rio de Janeiro/</v>
      </c>
      <c r="O519" s="12">
        <f>IFERROR(IF(Base_CRM[[#This Row],[PL Tailor]]&gt;Base_CRM[[#This Row],[PL Declarado]],1,Base_CRM[[#This Row],[PL Tailor]]/Base_CRM[[#This Row],[PL Declarado]]),0)</f>
        <v>1</v>
      </c>
      <c r="P519" s="11" t="str">
        <f>IF(Base_CRM[[#This Row],[Estado Civil]]="","PESSOA JURÍDICA","PESSOA FÍSICA")</f>
        <v>PESSOA FÍSICA</v>
      </c>
      <c r="Q519" t="str">
        <f>_xlfn.XLOOKUP(Base_CRM[[#This Row],[Cód do Cliente]],'[1]F &amp; O'!$A:$A,'[1]F &amp; O'!$F:$F,_xlfn.XLOOKUP(Base_CRM[[#This Row],[Assessor]],[1]DePara!$A:$A,[1]DePara!$D:$D,"Outros",0,1),0,1)</f>
        <v>Leonardo Burle</v>
      </c>
      <c r="R519" s="11" t="str">
        <f>_xlfn.XLOOKUP(Base_CRM[[#This Row],[Cód do Cliente]],'[1]F &amp; O'!$A:$A,'[1]F &amp; O'!D:D,"Sem Finder",0,1)</f>
        <v>Sem Finder</v>
      </c>
      <c r="S519" s="11" t="str">
        <f>_xlfn.XLOOKUP(Base_CRM[[#This Row],[Cód do Cliente]],'[1]F &amp; O'!$A:$A,'[1]F &amp; O'!E:E,"Sem Canal",0,1)</f>
        <v>Sem Canal</v>
      </c>
      <c r="T519" s="11" t="str">
        <f t="shared" si="8"/>
        <v>Cliente XP</v>
      </c>
    </row>
    <row r="520" spans="1:20" x14ac:dyDescent="0.3">
      <c r="A520">
        <v>5740042</v>
      </c>
      <c r="B520" s="8" t="s">
        <v>1184</v>
      </c>
      <c r="C520" s="9" t="s">
        <v>74</v>
      </c>
      <c r="D520" s="8">
        <v>5869.14</v>
      </c>
      <c r="E520">
        <v>20000</v>
      </c>
      <c r="F520" t="s">
        <v>22</v>
      </c>
      <c r="G520" t="s">
        <v>1185</v>
      </c>
      <c r="H520" s="10">
        <v>33805</v>
      </c>
      <c r="I520" s="10" t="s">
        <v>1186</v>
      </c>
      <c r="K520" t="s">
        <v>25</v>
      </c>
      <c r="L520" t="s">
        <v>1187</v>
      </c>
      <c r="N520" s="11" t="str">
        <f>Base_CRM[[#This Row],[Cidade]]&amp;"/"&amp;Base_CRM[[#This Row],[Estado]]</f>
        <v>CABO FRIO/</v>
      </c>
      <c r="O520" s="12">
        <f>IFERROR(IF(Base_CRM[[#This Row],[PL Tailor]]&gt;Base_CRM[[#This Row],[PL Declarado]],1,Base_CRM[[#This Row],[PL Tailor]]/Base_CRM[[#This Row],[PL Declarado]]),0)</f>
        <v>0.29345700000000002</v>
      </c>
      <c r="P520" s="11" t="str">
        <f>IF(Base_CRM[[#This Row],[Estado Civil]]="","PESSOA JURÍDICA","PESSOA FÍSICA")</f>
        <v>PESSOA FÍSICA</v>
      </c>
      <c r="Q520" t="str">
        <f>_xlfn.XLOOKUP(Base_CRM[[#This Row],[Cód do Cliente]],'[1]F &amp; O'!$A:$A,'[1]F &amp; O'!$F:$F,_xlfn.XLOOKUP(Base_CRM[[#This Row],[Assessor]],[1]DePara!$A:$A,[1]DePara!$D:$D,"Outros",0,1),0,1)</f>
        <v>Thayane Freitas</v>
      </c>
      <c r="R520" s="11" t="str">
        <f>_xlfn.XLOOKUP(Base_CRM[[#This Row],[Cód do Cliente]],'[1]F &amp; O'!$A:$A,'[1]F &amp; O'!D:D,"Sem Finder",0,1)</f>
        <v>Sem Finder</v>
      </c>
      <c r="S520" s="11" t="str">
        <f>_xlfn.XLOOKUP(Base_CRM[[#This Row],[Cód do Cliente]],'[1]F &amp; O'!$A:$A,'[1]F &amp; O'!E:E,"Sem Canal",0,1)</f>
        <v>Sem Canal</v>
      </c>
      <c r="T520" s="11" t="str">
        <f t="shared" si="8"/>
        <v>Cliente XP</v>
      </c>
    </row>
    <row r="521" spans="1:20" x14ac:dyDescent="0.3">
      <c r="A521">
        <v>5742554</v>
      </c>
      <c r="B521" s="8" t="s">
        <v>1188</v>
      </c>
      <c r="C521" s="9" t="s">
        <v>39</v>
      </c>
      <c r="D521" s="8">
        <v>44327.91</v>
      </c>
      <c r="E521">
        <v>1000000</v>
      </c>
      <c r="F521" t="s">
        <v>40</v>
      </c>
      <c r="G521" t="s">
        <v>52</v>
      </c>
      <c r="H521" s="10">
        <v>23492</v>
      </c>
      <c r="I521" s="10" t="s">
        <v>31</v>
      </c>
      <c r="K521" t="s">
        <v>25</v>
      </c>
      <c r="L521" t="s">
        <v>1189</v>
      </c>
      <c r="N521" s="11" t="str">
        <f>Base_CRM[[#This Row],[Cidade]]&amp;"/"&amp;Base_CRM[[#This Row],[Estado]]</f>
        <v>SAO PAULO/</v>
      </c>
      <c r="O521" s="12">
        <f>IFERROR(IF(Base_CRM[[#This Row],[PL Tailor]]&gt;Base_CRM[[#This Row],[PL Declarado]],1,Base_CRM[[#This Row],[PL Tailor]]/Base_CRM[[#This Row],[PL Declarado]]),0)</f>
        <v>4.4327910000000005E-2</v>
      </c>
      <c r="P521" s="11" t="str">
        <f>IF(Base_CRM[[#This Row],[Estado Civil]]="","PESSOA JURÍDICA","PESSOA FÍSICA")</f>
        <v>PESSOA FÍSICA</v>
      </c>
      <c r="Q521" t="str">
        <f>_xlfn.XLOOKUP(Base_CRM[[#This Row],[Cód do Cliente]],'[1]F &amp; O'!$A:$A,'[1]F &amp; O'!$F:$F,_xlfn.XLOOKUP(Base_CRM[[#This Row],[Assessor]],[1]DePara!$A:$A,[1]DePara!$D:$D,"Outros",0,1),0,1)</f>
        <v>Gestora</v>
      </c>
      <c r="R521" s="11" t="str">
        <f>_xlfn.XLOOKUP(Base_CRM[[#This Row],[Cód do Cliente]],'[1]F &amp; O'!$A:$A,'[1]F &amp; O'!D:D,"Sem Finder",0,1)</f>
        <v>Sem Finder</v>
      </c>
      <c r="S521" s="11" t="str">
        <f>_xlfn.XLOOKUP(Base_CRM[[#This Row],[Cód do Cliente]],'[1]F &amp; O'!$A:$A,'[1]F &amp; O'!E:E,"Sem Canal",0,1)</f>
        <v>Gestora</v>
      </c>
      <c r="T521" s="11" t="str">
        <f t="shared" si="8"/>
        <v>Cliente XP</v>
      </c>
    </row>
    <row r="522" spans="1:20" x14ac:dyDescent="0.3">
      <c r="A522">
        <v>583005</v>
      </c>
      <c r="B522" s="8" t="s">
        <v>1190</v>
      </c>
      <c r="C522" s="9" t="s">
        <v>48</v>
      </c>
      <c r="D522" s="8">
        <v>0</v>
      </c>
      <c r="E522">
        <v>100000</v>
      </c>
      <c r="F522" t="s">
        <v>22</v>
      </c>
      <c r="G522" t="s">
        <v>71</v>
      </c>
      <c r="H522" s="10">
        <v>29325</v>
      </c>
      <c r="I522" s="10" t="s">
        <v>24</v>
      </c>
      <c r="K522" t="s">
        <v>25</v>
      </c>
      <c r="L522" t="s">
        <v>1191</v>
      </c>
      <c r="N522" s="11" t="str">
        <f>Base_CRM[[#This Row],[Cidade]]&amp;"/"&amp;Base_CRM[[#This Row],[Estado]]</f>
        <v>RIO DE JANEIRO/</v>
      </c>
      <c r="O522" s="12">
        <f>IFERROR(IF(Base_CRM[[#This Row],[PL Tailor]]&gt;Base_CRM[[#This Row],[PL Declarado]],1,Base_CRM[[#This Row],[PL Tailor]]/Base_CRM[[#This Row],[PL Declarado]]),0)</f>
        <v>0</v>
      </c>
      <c r="P522" s="11" t="str">
        <f>IF(Base_CRM[[#This Row],[Estado Civil]]="","PESSOA JURÍDICA","PESSOA FÍSICA")</f>
        <v>PESSOA FÍSICA</v>
      </c>
      <c r="Q522" t="str">
        <f>_xlfn.XLOOKUP(Base_CRM[[#This Row],[Cód do Cliente]],'[1]F &amp; O'!$A:$A,'[1]F &amp; O'!$F:$F,_xlfn.XLOOKUP(Base_CRM[[#This Row],[Assessor]],[1]DePara!$A:$A,[1]DePara!$D:$D,"Outros",0,1),0,1)</f>
        <v>Raphael Farias</v>
      </c>
      <c r="R522" s="11" t="str">
        <f>_xlfn.XLOOKUP(Base_CRM[[#This Row],[Cód do Cliente]],'[1]F &amp; O'!$A:$A,'[1]F &amp; O'!D:D,"Sem Finder",0,1)</f>
        <v>Sem Finder</v>
      </c>
      <c r="S522" s="11" t="str">
        <f>_xlfn.XLOOKUP(Base_CRM[[#This Row],[Cód do Cliente]],'[1]F &amp; O'!$A:$A,'[1]F &amp; O'!E:E,"Sem Canal",0,1)</f>
        <v>Sem Canal</v>
      </c>
      <c r="T522" s="11" t="str">
        <f t="shared" si="8"/>
        <v>Cliente XP</v>
      </c>
    </row>
    <row r="523" spans="1:20" x14ac:dyDescent="0.3">
      <c r="A523">
        <v>5892431</v>
      </c>
      <c r="B523" s="8" t="s">
        <v>1192</v>
      </c>
      <c r="C523" s="9" t="s">
        <v>74</v>
      </c>
      <c r="D523" s="8">
        <v>12742.32</v>
      </c>
      <c r="E523">
        <v>240000</v>
      </c>
      <c r="F523" t="s">
        <v>22</v>
      </c>
      <c r="G523" t="s">
        <v>45</v>
      </c>
      <c r="H523" s="10">
        <v>36721</v>
      </c>
      <c r="I523" s="10" t="s">
        <v>24</v>
      </c>
      <c r="K523" t="s">
        <v>25</v>
      </c>
      <c r="L523" t="s">
        <v>1193</v>
      </c>
      <c r="N523" s="11" t="str">
        <f>Base_CRM[[#This Row],[Cidade]]&amp;"/"&amp;Base_CRM[[#This Row],[Estado]]</f>
        <v>RIO DE JANEIRO/</v>
      </c>
      <c r="O523" s="12">
        <f>IFERROR(IF(Base_CRM[[#This Row],[PL Tailor]]&gt;Base_CRM[[#This Row],[PL Declarado]],1,Base_CRM[[#This Row],[PL Tailor]]/Base_CRM[[#This Row],[PL Declarado]]),0)</f>
        <v>5.3093000000000001E-2</v>
      </c>
      <c r="P523" s="11" t="str">
        <f>IF(Base_CRM[[#This Row],[Estado Civil]]="","PESSOA JURÍDICA","PESSOA FÍSICA")</f>
        <v>PESSOA FÍSICA</v>
      </c>
      <c r="Q523" t="str">
        <f>_xlfn.XLOOKUP(Base_CRM[[#This Row],[Cód do Cliente]],'[1]F &amp; O'!$A:$A,'[1]F &amp; O'!$F:$F,_xlfn.XLOOKUP(Base_CRM[[#This Row],[Assessor]],[1]DePara!$A:$A,[1]DePara!$D:$D,"Outros",0,1),0,1)</f>
        <v>Thayane Freitas</v>
      </c>
      <c r="R523" s="11" t="str">
        <f>_xlfn.XLOOKUP(Base_CRM[[#This Row],[Cód do Cliente]],'[1]F &amp; O'!$A:$A,'[1]F &amp; O'!D:D,"Sem Finder",0,1)</f>
        <v>Sem Finder</v>
      </c>
      <c r="S523" s="11" t="str">
        <f>_xlfn.XLOOKUP(Base_CRM[[#This Row],[Cód do Cliente]],'[1]F &amp; O'!$A:$A,'[1]F &amp; O'!E:E,"Sem Canal",0,1)</f>
        <v>Sem Canal</v>
      </c>
      <c r="T523" s="11" t="str">
        <f t="shared" si="8"/>
        <v>Cliente XP</v>
      </c>
    </row>
    <row r="524" spans="1:20" x14ac:dyDescent="0.3">
      <c r="A524">
        <v>5902680</v>
      </c>
      <c r="B524" s="8" t="s">
        <v>1194</v>
      </c>
      <c r="C524" s="9" t="s">
        <v>21</v>
      </c>
      <c r="D524" s="8">
        <v>973206.25</v>
      </c>
      <c r="E524">
        <v>1100000</v>
      </c>
      <c r="F524" t="s">
        <v>29</v>
      </c>
      <c r="G524" t="s">
        <v>334</v>
      </c>
      <c r="H524" s="10">
        <v>14808</v>
      </c>
      <c r="I524" s="10" t="s">
        <v>24</v>
      </c>
      <c r="K524" t="s">
        <v>104</v>
      </c>
      <c r="L524" t="s">
        <v>1195</v>
      </c>
      <c r="M524" t="s">
        <v>64</v>
      </c>
      <c r="N524" s="11" t="str">
        <f>Base_CRM[[#This Row],[Cidade]]&amp;"/"&amp;Base_CRM[[#This Row],[Estado]]</f>
        <v>RIO DE JANEIRO/</v>
      </c>
      <c r="O524" s="12">
        <f>IFERROR(IF(Base_CRM[[#This Row],[PL Tailor]]&gt;Base_CRM[[#This Row],[PL Declarado]],1,Base_CRM[[#This Row],[PL Tailor]]/Base_CRM[[#This Row],[PL Declarado]]),0)</f>
        <v>0.88473295454545453</v>
      </c>
      <c r="P524" s="11" t="str">
        <f>IF(Base_CRM[[#This Row],[Estado Civil]]="","PESSOA JURÍDICA","PESSOA FÍSICA")</f>
        <v>PESSOA FÍSICA</v>
      </c>
      <c r="Q524" t="str">
        <f>_xlfn.XLOOKUP(Base_CRM[[#This Row],[Cód do Cliente]],'[1]F &amp; O'!$A:$A,'[1]F &amp; O'!$F:$F,_xlfn.XLOOKUP(Base_CRM[[#This Row],[Assessor]],[1]DePara!$A:$A,[1]DePara!$D:$D,"Outros",0,1),0,1)</f>
        <v>Leonardo Burle</v>
      </c>
      <c r="R524" s="11" t="str">
        <f>_xlfn.XLOOKUP(Base_CRM[[#This Row],[Cód do Cliente]],'[1]F &amp; O'!$A:$A,'[1]F &amp; O'!D:D,"Sem Finder",0,1)</f>
        <v>Sem Finder</v>
      </c>
      <c r="S524" s="11" t="str">
        <f>_xlfn.XLOOKUP(Base_CRM[[#This Row],[Cód do Cliente]],'[1]F &amp; O'!$A:$A,'[1]F &amp; O'!E:E,"Sem Canal",0,1)</f>
        <v>Sem Canal</v>
      </c>
      <c r="T524" s="11" t="str">
        <f t="shared" si="8"/>
        <v>Cliente XP</v>
      </c>
    </row>
    <row r="525" spans="1:20" x14ac:dyDescent="0.3">
      <c r="A525">
        <v>5912450</v>
      </c>
      <c r="B525" s="8" t="s">
        <v>1196</v>
      </c>
      <c r="C525" s="9" t="s">
        <v>74</v>
      </c>
      <c r="D525" s="8">
        <v>135241.14000000001</v>
      </c>
      <c r="E525">
        <v>200</v>
      </c>
      <c r="F525" t="s">
        <v>29</v>
      </c>
      <c r="G525" t="s">
        <v>118</v>
      </c>
      <c r="H525" s="10">
        <v>35374</v>
      </c>
      <c r="I525" s="10" t="s">
        <v>24</v>
      </c>
      <c r="K525" t="s">
        <v>25</v>
      </c>
      <c r="L525" t="s">
        <v>1197</v>
      </c>
      <c r="N525" s="11" t="str">
        <f>Base_CRM[[#This Row],[Cidade]]&amp;"/"&amp;Base_CRM[[#This Row],[Estado]]</f>
        <v>RIO DE JANEIRO/</v>
      </c>
      <c r="O525" s="12">
        <f>IFERROR(IF(Base_CRM[[#This Row],[PL Tailor]]&gt;Base_CRM[[#This Row],[PL Declarado]],1,Base_CRM[[#This Row],[PL Tailor]]/Base_CRM[[#This Row],[PL Declarado]]),0)</f>
        <v>1</v>
      </c>
      <c r="P525" s="11" t="str">
        <f>IF(Base_CRM[[#This Row],[Estado Civil]]="","PESSOA JURÍDICA","PESSOA FÍSICA")</f>
        <v>PESSOA FÍSICA</v>
      </c>
      <c r="Q525" t="str">
        <f>_xlfn.XLOOKUP(Base_CRM[[#This Row],[Cód do Cliente]],'[1]F &amp; O'!$A:$A,'[1]F &amp; O'!$F:$F,_xlfn.XLOOKUP(Base_CRM[[#This Row],[Assessor]],[1]DePara!$A:$A,[1]DePara!$D:$D,"Outros",0,1),0,1)</f>
        <v>Thayane Freitas</v>
      </c>
      <c r="R525" s="11" t="str">
        <f>_xlfn.XLOOKUP(Base_CRM[[#This Row],[Cód do Cliente]],'[1]F &amp; O'!$A:$A,'[1]F &amp; O'!D:D,"Sem Finder",0,1)</f>
        <v>Sem Finder</v>
      </c>
      <c r="S525" s="11" t="str">
        <f>_xlfn.XLOOKUP(Base_CRM[[#This Row],[Cód do Cliente]],'[1]F &amp; O'!$A:$A,'[1]F &amp; O'!E:E,"Sem Canal",0,1)</f>
        <v>Sem Canal</v>
      </c>
      <c r="T525" s="11" t="str">
        <f t="shared" si="8"/>
        <v>Cliente XP</v>
      </c>
    </row>
    <row r="526" spans="1:20" x14ac:dyDescent="0.3">
      <c r="A526">
        <v>5914508</v>
      </c>
      <c r="B526" s="8" t="s">
        <v>1198</v>
      </c>
      <c r="C526" s="9" t="s">
        <v>39</v>
      </c>
      <c r="D526" s="8">
        <v>3489136.4</v>
      </c>
      <c r="E526">
        <v>2800000</v>
      </c>
      <c r="F526" t="s">
        <v>29</v>
      </c>
      <c r="G526" t="s">
        <v>71</v>
      </c>
      <c r="H526" s="10">
        <v>17110</v>
      </c>
      <c r="I526" s="10" t="s">
        <v>31</v>
      </c>
      <c r="K526" t="s">
        <v>42</v>
      </c>
      <c r="L526" t="s">
        <v>1199</v>
      </c>
      <c r="M526" t="s">
        <v>109</v>
      </c>
      <c r="N526" s="11" t="str">
        <f>Base_CRM[[#This Row],[Cidade]]&amp;"/"&amp;Base_CRM[[#This Row],[Estado]]</f>
        <v>SAO PAULO/</v>
      </c>
      <c r="O526" s="12">
        <f>IFERROR(IF(Base_CRM[[#This Row],[PL Tailor]]&gt;Base_CRM[[#This Row],[PL Declarado]],1,Base_CRM[[#This Row],[PL Tailor]]/Base_CRM[[#This Row],[PL Declarado]]),0)</f>
        <v>1</v>
      </c>
      <c r="P526" s="11" t="str">
        <f>IF(Base_CRM[[#This Row],[Estado Civil]]="","PESSOA JURÍDICA","PESSOA FÍSICA")</f>
        <v>PESSOA FÍSICA</v>
      </c>
      <c r="Q526" t="str">
        <f>_xlfn.XLOOKUP(Base_CRM[[#This Row],[Cód do Cliente]],'[1]F &amp; O'!$A:$A,'[1]F &amp; O'!$F:$F,_xlfn.XLOOKUP(Base_CRM[[#This Row],[Assessor]],[1]DePara!$A:$A,[1]DePara!$D:$D,"Outros",0,1),0,1)</f>
        <v>Gestora</v>
      </c>
      <c r="R526" s="11" t="str">
        <f>_xlfn.XLOOKUP(Base_CRM[[#This Row],[Cód do Cliente]],'[1]F &amp; O'!$A:$A,'[1]F &amp; O'!D:D,"Sem Finder",0,1)</f>
        <v>Sem Finder</v>
      </c>
      <c r="S526" s="11" t="str">
        <f>_xlfn.XLOOKUP(Base_CRM[[#This Row],[Cód do Cliente]],'[1]F &amp; O'!$A:$A,'[1]F &amp; O'!E:E,"Sem Canal",0,1)</f>
        <v>Gestora</v>
      </c>
      <c r="T526" s="11" t="str">
        <f t="shared" si="8"/>
        <v>Cliente XP</v>
      </c>
    </row>
    <row r="527" spans="1:20" x14ac:dyDescent="0.3">
      <c r="A527">
        <v>597413</v>
      </c>
      <c r="B527" s="8" t="s">
        <v>1200</v>
      </c>
      <c r="C527" s="9" t="s">
        <v>21</v>
      </c>
      <c r="D527" s="8">
        <v>7995815.6799999997</v>
      </c>
      <c r="E527">
        <v>5000000</v>
      </c>
      <c r="F527" t="s">
        <v>22</v>
      </c>
      <c r="G527" t="s">
        <v>71</v>
      </c>
      <c r="H527" s="10">
        <v>26977</v>
      </c>
      <c r="I527" s="10" t="s">
        <v>24</v>
      </c>
      <c r="K527" t="s">
        <v>42</v>
      </c>
      <c r="L527" t="s">
        <v>1201</v>
      </c>
      <c r="M527" t="s">
        <v>64</v>
      </c>
      <c r="N527" s="11" t="str">
        <f>Base_CRM[[#This Row],[Cidade]]&amp;"/"&amp;Base_CRM[[#This Row],[Estado]]</f>
        <v>RIO DE JANEIRO/</v>
      </c>
      <c r="O527" s="12">
        <f>IFERROR(IF(Base_CRM[[#This Row],[PL Tailor]]&gt;Base_CRM[[#This Row],[PL Declarado]],1,Base_CRM[[#This Row],[PL Tailor]]/Base_CRM[[#This Row],[PL Declarado]]),0)</f>
        <v>1</v>
      </c>
      <c r="P527" s="11" t="str">
        <f>IF(Base_CRM[[#This Row],[Estado Civil]]="","PESSOA JURÍDICA","PESSOA FÍSICA")</f>
        <v>PESSOA FÍSICA</v>
      </c>
      <c r="Q527" t="str">
        <f>_xlfn.XLOOKUP(Base_CRM[[#This Row],[Cód do Cliente]],'[1]F &amp; O'!$A:$A,'[1]F &amp; O'!$F:$F,_xlfn.XLOOKUP(Base_CRM[[#This Row],[Assessor]],[1]DePara!$A:$A,[1]DePara!$D:$D,"Outros",0,1),0,1)</f>
        <v>Leonardo Burle</v>
      </c>
      <c r="R527" s="11" t="str">
        <f>_xlfn.XLOOKUP(Base_CRM[[#This Row],[Cód do Cliente]],'[1]F &amp; O'!$A:$A,'[1]F &amp; O'!D:D,"Sem Finder",0,1)</f>
        <v>Sem Finder</v>
      </c>
      <c r="S527" s="11" t="str">
        <f>_xlfn.XLOOKUP(Base_CRM[[#This Row],[Cód do Cliente]],'[1]F &amp; O'!$A:$A,'[1]F &amp; O'!E:E,"Sem Canal",0,1)</f>
        <v>Sem Canal</v>
      </c>
      <c r="T527" s="11" t="str">
        <f t="shared" si="8"/>
        <v>Cliente XP</v>
      </c>
    </row>
    <row r="528" spans="1:20" x14ac:dyDescent="0.3">
      <c r="A528">
        <v>6001104</v>
      </c>
      <c r="B528" s="8" t="s">
        <v>1202</v>
      </c>
      <c r="C528" s="9" t="s">
        <v>39</v>
      </c>
      <c r="D528" s="8">
        <v>679343.31</v>
      </c>
      <c r="E528">
        <v>300000</v>
      </c>
      <c r="F528" t="s">
        <v>22</v>
      </c>
      <c r="G528" t="s">
        <v>96</v>
      </c>
      <c r="H528" s="10">
        <v>28844</v>
      </c>
      <c r="I528" s="10" t="s">
        <v>31</v>
      </c>
      <c r="K528" t="s">
        <v>42</v>
      </c>
      <c r="L528" t="s">
        <v>1203</v>
      </c>
      <c r="N528" s="11" t="str">
        <f>Base_CRM[[#This Row],[Cidade]]&amp;"/"&amp;Base_CRM[[#This Row],[Estado]]</f>
        <v>SAO PAULO/</v>
      </c>
      <c r="O528" s="12">
        <f>IFERROR(IF(Base_CRM[[#This Row],[PL Tailor]]&gt;Base_CRM[[#This Row],[PL Declarado]],1,Base_CRM[[#This Row],[PL Tailor]]/Base_CRM[[#This Row],[PL Declarado]]),0)</f>
        <v>1</v>
      </c>
      <c r="P528" s="11" t="str">
        <f>IF(Base_CRM[[#This Row],[Estado Civil]]="","PESSOA JURÍDICA","PESSOA FÍSICA")</f>
        <v>PESSOA FÍSICA</v>
      </c>
      <c r="Q528" t="str">
        <f>_xlfn.XLOOKUP(Base_CRM[[#This Row],[Cód do Cliente]],'[1]F &amp; O'!$A:$A,'[1]F &amp; O'!$F:$F,_xlfn.XLOOKUP(Base_CRM[[#This Row],[Assessor]],[1]DePara!$A:$A,[1]DePara!$D:$D,"Outros",0,1),0,1)</f>
        <v>Gestora</v>
      </c>
      <c r="R528" s="11" t="str">
        <f>_xlfn.XLOOKUP(Base_CRM[[#This Row],[Cód do Cliente]],'[1]F &amp; O'!$A:$A,'[1]F &amp; O'!D:D,"Sem Finder",0,1)</f>
        <v>Sem Finder</v>
      </c>
      <c r="S528" s="11" t="str">
        <f>_xlfn.XLOOKUP(Base_CRM[[#This Row],[Cód do Cliente]],'[1]F &amp; O'!$A:$A,'[1]F &amp; O'!E:E,"Sem Canal",0,1)</f>
        <v>Sem Canal</v>
      </c>
      <c r="T528" s="11" t="str">
        <f t="shared" si="8"/>
        <v>Cliente XP</v>
      </c>
    </row>
    <row r="529" spans="1:20" x14ac:dyDescent="0.3">
      <c r="A529">
        <v>6088037</v>
      </c>
      <c r="B529" s="8" t="s">
        <v>1204</v>
      </c>
      <c r="C529" s="9" t="s">
        <v>39</v>
      </c>
      <c r="D529" s="8">
        <v>61.97</v>
      </c>
      <c r="E529">
        <v>1000</v>
      </c>
      <c r="F529" t="s">
        <v>22</v>
      </c>
      <c r="G529" t="s">
        <v>67</v>
      </c>
      <c r="H529" s="10">
        <v>34683</v>
      </c>
      <c r="I529" s="10" t="s">
        <v>31</v>
      </c>
      <c r="K529" t="s">
        <v>25</v>
      </c>
      <c r="L529" t="s">
        <v>1205</v>
      </c>
      <c r="N529" s="11" t="str">
        <f>Base_CRM[[#This Row],[Cidade]]&amp;"/"&amp;Base_CRM[[#This Row],[Estado]]</f>
        <v>SAO PAULO/</v>
      </c>
      <c r="O529" s="12">
        <f>IFERROR(IF(Base_CRM[[#This Row],[PL Tailor]]&gt;Base_CRM[[#This Row],[PL Declarado]],1,Base_CRM[[#This Row],[PL Tailor]]/Base_CRM[[#This Row],[PL Declarado]]),0)</f>
        <v>6.1969999999999997E-2</v>
      </c>
      <c r="P529" s="11" t="str">
        <f>IF(Base_CRM[[#This Row],[Estado Civil]]="","PESSOA JURÍDICA","PESSOA FÍSICA")</f>
        <v>PESSOA FÍSICA</v>
      </c>
      <c r="Q529" t="str">
        <f>_xlfn.XLOOKUP(Base_CRM[[#This Row],[Cód do Cliente]],'[1]F &amp; O'!$A:$A,'[1]F &amp; O'!$F:$F,_xlfn.XLOOKUP(Base_CRM[[#This Row],[Assessor]],[1]DePara!$A:$A,[1]DePara!$D:$D,"Outros",0,1),0,1)</f>
        <v>Gestora</v>
      </c>
      <c r="R529" s="11" t="str">
        <f>_xlfn.XLOOKUP(Base_CRM[[#This Row],[Cód do Cliente]],'[1]F &amp; O'!$A:$A,'[1]F &amp; O'!D:D,"Sem Finder",0,1)</f>
        <v>Sem Finder</v>
      </c>
      <c r="S529" s="11" t="str">
        <f>_xlfn.XLOOKUP(Base_CRM[[#This Row],[Cód do Cliente]],'[1]F &amp; O'!$A:$A,'[1]F &amp; O'!E:E,"Sem Canal",0,1)</f>
        <v>Gestora</v>
      </c>
      <c r="T529" s="11" t="str">
        <f t="shared" si="8"/>
        <v>Cliente XP</v>
      </c>
    </row>
    <row r="530" spans="1:20" x14ac:dyDescent="0.3">
      <c r="A530">
        <v>6099844</v>
      </c>
      <c r="B530" s="8" t="s">
        <v>1206</v>
      </c>
      <c r="C530" s="9" t="s">
        <v>103</v>
      </c>
      <c r="D530" s="8">
        <v>806534.73</v>
      </c>
      <c r="E530">
        <v>1000000</v>
      </c>
      <c r="F530" t="s">
        <v>22</v>
      </c>
      <c r="G530" t="s">
        <v>1207</v>
      </c>
      <c r="H530" s="10">
        <v>31637</v>
      </c>
      <c r="I530" s="10" t="s">
        <v>438</v>
      </c>
      <c r="K530" t="s">
        <v>25</v>
      </c>
      <c r="L530" t="s">
        <v>1208</v>
      </c>
      <c r="N530" s="11" t="str">
        <f>Base_CRM[[#This Row],[Cidade]]&amp;"/"&amp;Base_CRM[[#This Row],[Estado]]</f>
        <v>ITAJAI/</v>
      </c>
      <c r="O530" s="12">
        <f>IFERROR(IF(Base_CRM[[#This Row],[PL Tailor]]&gt;Base_CRM[[#This Row],[PL Declarado]],1,Base_CRM[[#This Row],[PL Tailor]]/Base_CRM[[#This Row],[PL Declarado]]),0)</f>
        <v>0.80653472999999998</v>
      </c>
      <c r="P530" s="11" t="str">
        <f>IF(Base_CRM[[#This Row],[Estado Civil]]="","PESSOA JURÍDICA","PESSOA FÍSICA")</f>
        <v>PESSOA FÍSICA</v>
      </c>
      <c r="Q530" t="str">
        <f>_xlfn.XLOOKUP(Base_CRM[[#This Row],[Cód do Cliente]],'[1]F &amp; O'!$A:$A,'[1]F &amp; O'!$F:$F,_xlfn.XLOOKUP(Base_CRM[[#This Row],[Assessor]],[1]DePara!$A:$A,[1]DePara!$D:$D,"Outros",0,1),0,1)</f>
        <v>Raphael Pereira</v>
      </c>
      <c r="R530" s="11" t="str">
        <f>_xlfn.XLOOKUP(Base_CRM[[#This Row],[Cód do Cliente]],'[1]F &amp; O'!$A:$A,'[1]F &amp; O'!D:D,"Sem Finder",0,1)</f>
        <v>Sem Finder</v>
      </c>
      <c r="S530" s="11" t="str">
        <f>_xlfn.XLOOKUP(Base_CRM[[#This Row],[Cód do Cliente]],'[1]F &amp; O'!$A:$A,'[1]F &amp; O'!E:E,"Sem Canal",0,1)</f>
        <v>Sem Canal</v>
      </c>
      <c r="T530" s="11" t="str">
        <f t="shared" si="8"/>
        <v>Cliente XP</v>
      </c>
    </row>
    <row r="531" spans="1:20" x14ac:dyDescent="0.3">
      <c r="A531">
        <v>6132015</v>
      </c>
      <c r="B531" s="8" t="s">
        <v>1209</v>
      </c>
      <c r="C531" s="9" t="s">
        <v>21</v>
      </c>
      <c r="D531" s="8">
        <v>5989262.4400000004</v>
      </c>
      <c r="E531">
        <v>2000002</v>
      </c>
      <c r="F531" t="s">
        <v>22</v>
      </c>
      <c r="G531" t="s">
        <v>87</v>
      </c>
      <c r="H531" s="10">
        <v>30517</v>
      </c>
      <c r="I531" s="10" t="s">
        <v>24</v>
      </c>
      <c r="K531" t="s">
        <v>25</v>
      </c>
      <c r="L531" t="s">
        <v>1210</v>
      </c>
      <c r="N531" s="11" t="str">
        <f>Base_CRM[[#This Row],[Cidade]]&amp;"/"&amp;Base_CRM[[#This Row],[Estado]]</f>
        <v>RIO DE JANEIRO/</v>
      </c>
      <c r="O531" s="12">
        <f>IFERROR(IF(Base_CRM[[#This Row],[PL Tailor]]&gt;Base_CRM[[#This Row],[PL Declarado]],1,Base_CRM[[#This Row],[PL Tailor]]/Base_CRM[[#This Row],[PL Declarado]]),0)</f>
        <v>1</v>
      </c>
      <c r="P531" s="11" t="str">
        <f>IF(Base_CRM[[#This Row],[Estado Civil]]="","PESSOA JURÍDICA","PESSOA FÍSICA")</f>
        <v>PESSOA FÍSICA</v>
      </c>
      <c r="Q531" t="str">
        <f>_xlfn.XLOOKUP(Base_CRM[[#This Row],[Cód do Cliente]],'[1]F &amp; O'!$A:$A,'[1]F &amp; O'!$F:$F,_xlfn.XLOOKUP(Base_CRM[[#This Row],[Assessor]],[1]DePara!$A:$A,[1]DePara!$D:$D,"Outros",0,1),0,1)</f>
        <v>Leonardo Burle</v>
      </c>
      <c r="R531" s="11" t="str">
        <f>_xlfn.XLOOKUP(Base_CRM[[#This Row],[Cód do Cliente]],'[1]F &amp; O'!$A:$A,'[1]F &amp; O'!D:D,"Sem Finder",0,1)</f>
        <v>Sem Finder</v>
      </c>
      <c r="S531" s="11" t="str">
        <f>_xlfn.XLOOKUP(Base_CRM[[#This Row],[Cód do Cliente]],'[1]F &amp; O'!$A:$A,'[1]F &amp; O'!E:E,"Sem Canal",0,1)</f>
        <v>Sem Canal</v>
      </c>
      <c r="T531" s="11" t="str">
        <f t="shared" si="8"/>
        <v>Cliente XP</v>
      </c>
    </row>
    <row r="532" spans="1:20" x14ac:dyDescent="0.3">
      <c r="A532">
        <v>6313155</v>
      </c>
      <c r="B532" s="8" t="s">
        <v>1211</v>
      </c>
      <c r="C532" s="9" t="s">
        <v>34</v>
      </c>
      <c r="D532" s="8">
        <v>8422.2999999999993</v>
      </c>
      <c r="E532">
        <v>5000</v>
      </c>
      <c r="F532" t="s">
        <v>22</v>
      </c>
      <c r="G532" t="s">
        <v>35</v>
      </c>
      <c r="H532" s="10">
        <v>35335</v>
      </c>
      <c r="I532" s="10" t="s">
        <v>62</v>
      </c>
      <c r="K532" t="s">
        <v>25</v>
      </c>
      <c r="L532" t="s">
        <v>1212</v>
      </c>
      <c r="N532" s="11" t="str">
        <f>Base_CRM[[#This Row],[Cidade]]&amp;"/"&amp;Base_CRM[[#This Row],[Estado]]</f>
        <v>Rio de Janeiro/</v>
      </c>
      <c r="O532" s="12">
        <f>IFERROR(IF(Base_CRM[[#This Row],[PL Tailor]]&gt;Base_CRM[[#This Row],[PL Declarado]],1,Base_CRM[[#This Row],[PL Tailor]]/Base_CRM[[#This Row],[PL Declarado]]),0)</f>
        <v>1</v>
      </c>
      <c r="P532" s="11" t="str">
        <f>IF(Base_CRM[[#This Row],[Estado Civil]]="","PESSOA JURÍDICA","PESSOA FÍSICA")</f>
        <v>PESSOA FÍSICA</v>
      </c>
      <c r="Q532" t="str">
        <f>_xlfn.XLOOKUP(Base_CRM[[#This Row],[Cód do Cliente]],'[1]F &amp; O'!$A:$A,'[1]F &amp; O'!$F:$F,_xlfn.XLOOKUP(Base_CRM[[#This Row],[Assessor]],[1]DePara!$A:$A,[1]DePara!$D:$D,"Outros",0,1),0,1)</f>
        <v>Adonias Noronha</v>
      </c>
      <c r="R532" s="11" t="str">
        <f>_xlfn.XLOOKUP(Base_CRM[[#This Row],[Cód do Cliente]],'[1]F &amp; O'!$A:$A,'[1]F &amp; O'!D:D,"Sem Finder",0,1)</f>
        <v>Sem Finder</v>
      </c>
      <c r="S532" s="11" t="str">
        <f>_xlfn.XLOOKUP(Base_CRM[[#This Row],[Cód do Cliente]],'[1]F &amp; O'!$A:$A,'[1]F &amp; O'!E:E,"Sem Canal",0,1)</f>
        <v>Sem Canal</v>
      </c>
      <c r="T532" s="11" t="str">
        <f t="shared" si="8"/>
        <v>Cliente XP</v>
      </c>
    </row>
    <row r="533" spans="1:20" x14ac:dyDescent="0.3">
      <c r="A533">
        <v>6343060</v>
      </c>
      <c r="B533" s="8" t="s">
        <v>1213</v>
      </c>
      <c r="C533" s="9" t="s">
        <v>39</v>
      </c>
      <c r="D533" s="8">
        <v>15518.2</v>
      </c>
      <c r="E533">
        <v>1000000</v>
      </c>
      <c r="F533" t="s">
        <v>40</v>
      </c>
      <c r="G533" t="s">
        <v>334</v>
      </c>
      <c r="H533" s="10">
        <v>33320</v>
      </c>
      <c r="I533" s="10" t="s">
        <v>115</v>
      </c>
      <c r="K533" t="s">
        <v>25</v>
      </c>
      <c r="L533" t="s">
        <v>1214</v>
      </c>
      <c r="N533" s="11" t="str">
        <f>Base_CRM[[#This Row],[Cidade]]&amp;"/"&amp;Base_CRM[[#This Row],[Estado]]</f>
        <v>BARUERI/</v>
      </c>
      <c r="O533" s="12">
        <f>IFERROR(IF(Base_CRM[[#This Row],[PL Tailor]]&gt;Base_CRM[[#This Row],[PL Declarado]],1,Base_CRM[[#This Row],[PL Tailor]]/Base_CRM[[#This Row],[PL Declarado]]),0)</f>
        <v>1.5518200000000001E-2</v>
      </c>
      <c r="P533" s="11" t="str">
        <f>IF(Base_CRM[[#This Row],[Estado Civil]]="","PESSOA JURÍDICA","PESSOA FÍSICA")</f>
        <v>PESSOA FÍSICA</v>
      </c>
      <c r="Q533" t="str">
        <f>_xlfn.XLOOKUP(Base_CRM[[#This Row],[Cód do Cliente]],'[1]F &amp; O'!$A:$A,'[1]F &amp; O'!$F:$F,_xlfn.XLOOKUP(Base_CRM[[#This Row],[Assessor]],[1]DePara!$A:$A,[1]DePara!$D:$D,"Outros",0,1),0,1)</f>
        <v>Gestora</v>
      </c>
      <c r="R533" s="11" t="str">
        <f>_xlfn.XLOOKUP(Base_CRM[[#This Row],[Cód do Cliente]],'[1]F &amp; O'!$A:$A,'[1]F &amp; O'!D:D,"Sem Finder",0,1)</f>
        <v>Sem Finder</v>
      </c>
      <c r="S533" s="11" t="str">
        <f>_xlfn.XLOOKUP(Base_CRM[[#This Row],[Cód do Cliente]],'[1]F &amp; O'!$A:$A,'[1]F &amp; O'!E:E,"Sem Canal",0,1)</f>
        <v>Gestora</v>
      </c>
      <c r="T533" s="11" t="str">
        <f t="shared" si="8"/>
        <v>Cliente XP</v>
      </c>
    </row>
    <row r="534" spans="1:20" x14ac:dyDescent="0.3">
      <c r="A534">
        <v>6349944</v>
      </c>
      <c r="B534" s="8" t="s">
        <v>1215</v>
      </c>
      <c r="C534" s="9" t="s">
        <v>21</v>
      </c>
      <c r="D534" s="8">
        <v>400383.35</v>
      </c>
      <c r="E534">
        <v>200000</v>
      </c>
      <c r="F534" t="s">
        <v>22</v>
      </c>
      <c r="G534" t="s">
        <v>93</v>
      </c>
      <c r="H534" s="10">
        <v>18290</v>
      </c>
      <c r="I534" s="10" t="s">
        <v>24</v>
      </c>
      <c r="K534" t="s">
        <v>104</v>
      </c>
      <c r="L534" t="s">
        <v>1216</v>
      </c>
      <c r="N534" s="11" t="str">
        <f>Base_CRM[[#This Row],[Cidade]]&amp;"/"&amp;Base_CRM[[#This Row],[Estado]]</f>
        <v>RIO DE JANEIRO/</v>
      </c>
      <c r="O534" s="12">
        <f>IFERROR(IF(Base_CRM[[#This Row],[PL Tailor]]&gt;Base_CRM[[#This Row],[PL Declarado]],1,Base_CRM[[#This Row],[PL Tailor]]/Base_CRM[[#This Row],[PL Declarado]]),0)</f>
        <v>1</v>
      </c>
      <c r="P534" s="11" t="str">
        <f>IF(Base_CRM[[#This Row],[Estado Civil]]="","PESSOA JURÍDICA","PESSOA FÍSICA")</f>
        <v>PESSOA FÍSICA</v>
      </c>
      <c r="Q534" t="str">
        <f>_xlfn.XLOOKUP(Base_CRM[[#This Row],[Cód do Cliente]],'[1]F &amp; O'!$A:$A,'[1]F &amp; O'!$F:$F,_xlfn.XLOOKUP(Base_CRM[[#This Row],[Assessor]],[1]DePara!$A:$A,[1]DePara!$D:$D,"Outros",0,1),0,1)</f>
        <v>Leonardo Burle</v>
      </c>
      <c r="R534" s="11" t="str">
        <f>_xlfn.XLOOKUP(Base_CRM[[#This Row],[Cód do Cliente]],'[1]F &amp; O'!$A:$A,'[1]F &amp; O'!D:D,"Sem Finder",0,1)</f>
        <v>Sem Finder</v>
      </c>
      <c r="S534" s="11" t="str">
        <f>_xlfn.XLOOKUP(Base_CRM[[#This Row],[Cód do Cliente]],'[1]F &amp; O'!$A:$A,'[1]F &amp; O'!E:E,"Sem Canal",0,1)</f>
        <v>Sem Canal</v>
      </c>
      <c r="T534" s="11" t="str">
        <f t="shared" si="8"/>
        <v>Cliente XP</v>
      </c>
    </row>
    <row r="535" spans="1:20" x14ac:dyDescent="0.3">
      <c r="A535">
        <v>6388746</v>
      </c>
      <c r="B535" s="8" t="s">
        <v>1217</v>
      </c>
      <c r="C535" s="9" t="s">
        <v>48</v>
      </c>
      <c r="D535" s="8">
        <v>4040528.03</v>
      </c>
      <c r="E535">
        <v>4000000</v>
      </c>
      <c r="F535" t="s">
        <v>29</v>
      </c>
      <c r="G535" t="s">
        <v>67</v>
      </c>
      <c r="H535" s="10">
        <v>28038</v>
      </c>
      <c r="I535" s="10" t="s">
        <v>315</v>
      </c>
      <c r="K535" t="s">
        <v>68</v>
      </c>
      <c r="L535" t="s">
        <v>1218</v>
      </c>
      <c r="M535" t="s">
        <v>1219</v>
      </c>
      <c r="N535" s="11" t="str">
        <f>Base_CRM[[#This Row],[Cidade]]&amp;"/"&amp;Base_CRM[[#This Row],[Estado]]</f>
        <v>Niterói/</v>
      </c>
      <c r="O535" s="12">
        <f>IFERROR(IF(Base_CRM[[#This Row],[PL Tailor]]&gt;Base_CRM[[#This Row],[PL Declarado]],1,Base_CRM[[#This Row],[PL Tailor]]/Base_CRM[[#This Row],[PL Declarado]]),0)</f>
        <v>1</v>
      </c>
      <c r="P535" s="11" t="str">
        <f>IF(Base_CRM[[#This Row],[Estado Civil]]="","PESSOA JURÍDICA","PESSOA FÍSICA")</f>
        <v>PESSOA FÍSICA</v>
      </c>
      <c r="Q535" t="str">
        <f>_xlfn.XLOOKUP(Base_CRM[[#This Row],[Cód do Cliente]],'[1]F &amp; O'!$A:$A,'[1]F &amp; O'!$F:$F,_xlfn.XLOOKUP(Base_CRM[[#This Row],[Assessor]],[1]DePara!$A:$A,[1]DePara!$D:$D,"Outros",0,1),0,1)</f>
        <v>Raphael Farias</v>
      </c>
      <c r="R535" s="11" t="str">
        <f>_xlfn.XLOOKUP(Base_CRM[[#This Row],[Cód do Cliente]],'[1]F &amp; O'!$A:$A,'[1]F &amp; O'!D:D,"Sem Finder",0,1)</f>
        <v>Frederico Dantas</v>
      </c>
      <c r="S535" s="11" t="str">
        <f>_xlfn.XLOOKUP(Base_CRM[[#This Row],[Cód do Cliente]],'[1]F &amp; O'!$A:$A,'[1]F &amp; O'!E:E,"Sem Canal",0,1)</f>
        <v>Sem Canal</v>
      </c>
      <c r="T535" s="11" t="str">
        <f t="shared" si="8"/>
        <v>Cliente XP</v>
      </c>
    </row>
    <row r="536" spans="1:20" x14ac:dyDescent="0.3">
      <c r="A536">
        <v>6408357</v>
      </c>
      <c r="B536" s="8" t="s">
        <v>1220</v>
      </c>
      <c r="C536" s="9" t="s">
        <v>21</v>
      </c>
      <c r="D536" s="8">
        <v>0</v>
      </c>
      <c r="E536">
        <v>250000</v>
      </c>
      <c r="F536" t="s">
        <v>22</v>
      </c>
      <c r="G536" t="s">
        <v>35</v>
      </c>
      <c r="H536" s="10">
        <v>36691</v>
      </c>
      <c r="I536" s="10" t="s">
        <v>24</v>
      </c>
      <c r="K536" t="s">
        <v>25</v>
      </c>
      <c r="L536" t="s">
        <v>1221</v>
      </c>
      <c r="N536" s="11" t="str">
        <f>Base_CRM[[#This Row],[Cidade]]&amp;"/"&amp;Base_CRM[[#This Row],[Estado]]</f>
        <v>RIO DE JANEIRO/</v>
      </c>
      <c r="O536" s="12">
        <f>IFERROR(IF(Base_CRM[[#This Row],[PL Tailor]]&gt;Base_CRM[[#This Row],[PL Declarado]],1,Base_CRM[[#This Row],[PL Tailor]]/Base_CRM[[#This Row],[PL Declarado]]),0)</f>
        <v>0</v>
      </c>
      <c r="P536" s="11" t="str">
        <f>IF(Base_CRM[[#This Row],[Estado Civil]]="","PESSOA JURÍDICA","PESSOA FÍSICA")</f>
        <v>PESSOA FÍSICA</v>
      </c>
      <c r="Q536" t="str">
        <f>_xlfn.XLOOKUP(Base_CRM[[#This Row],[Cód do Cliente]],'[1]F &amp; O'!$A:$A,'[1]F &amp; O'!$F:$F,_xlfn.XLOOKUP(Base_CRM[[#This Row],[Assessor]],[1]DePara!$A:$A,[1]DePara!$D:$D,"Outros",0,1),0,1)</f>
        <v>Leonardo Burle</v>
      </c>
      <c r="R536" s="11" t="str">
        <f>_xlfn.XLOOKUP(Base_CRM[[#This Row],[Cód do Cliente]],'[1]F &amp; O'!$A:$A,'[1]F &amp; O'!D:D,"Sem Finder",0,1)</f>
        <v>Sem Finder</v>
      </c>
      <c r="S536" s="11" t="str">
        <f>_xlfn.XLOOKUP(Base_CRM[[#This Row],[Cód do Cliente]],'[1]F &amp; O'!$A:$A,'[1]F &amp; O'!E:E,"Sem Canal",0,1)</f>
        <v>Sem Canal</v>
      </c>
      <c r="T536" s="11" t="str">
        <f t="shared" si="8"/>
        <v>Cliente XP</v>
      </c>
    </row>
    <row r="537" spans="1:20" x14ac:dyDescent="0.3">
      <c r="A537">
        <v>6445154</v>
      </c>
      <c r="B537" s="8" t="s">
        <v>1222</v>
      </c>
      <c r="C537" s="9" t="s">
        <v>39</v>
      </c>
      <c r="D537" s="8">
        <v>195657.07</v>
      </c>
      <c r="E537">
        <v>300000</v>
      </c>
      <c r="F537" t="s">
        <v>40</v>
      </c>
      <c r="G537" t="s">
        <v>1223</v>
      </c>
      <c r="H537" s="10">
        <v>23104</v>
      </c>
      <c r="I537" s="10" t="s">
        <v>31</v>
      </c>
      <c r="K537" t="s">
        <v>42</v>
      </c>
      <c r="L537" t="s">
        <v>1224</v>
      </c>
      <c r="N537" s="11" t="str">
        <f>Base_CRM[[#This Row],[Cidade]]&amp;"/"&amp;Base_CRM[[#This Row],[Estado]]</f>
        <v>SAO PAULO/</v>
      </c>
      <c r="O537" s="12">
        <f>IFERROR(IF(Base_CRM[[#This Row],[PL Tailor]]&gt;Base_CRM[[#This Row],[PL Declarado]],1,Base_CRM[[#This Row],[PL Tailor]]/Base_CRM[[#This Row],[PL Declarado]]),0)</f>
        <v>0.65219023333333337</v>
      </c>
      <c r="P537" s="11" t="str">
        <f>IF(Base_CRM[[#This Row],[Estado Civil]]="","PESSOA JURÍDICA","PESSOA FÍSICA")</f>
        <v>PESSOA FÍSICA</v>
      </c>
      <c r="Q537" t="str">
        <f>_xlfn.XLOOKUP(Base_CRM[[#This Row],[Cód do Cliente]],'[1]F &amp; O'!$A:$A,'[1]F &amp; O'!$F:$F,_xlfn.XLOOKUP(Base_CRM[[#This Row],[Assessor]],[1]DePara!$A:$A,[1]DePara!$D:$D,"Outros",0,1),0,1)</f>
        <v>Gestora</v>
      </c>
      <c r="R537" s="11" t="str">
        <f>_xlfn.XLOOKUP(Base_CRM[[#This Row],[Cód do Cliente]],'[1]F &amp; O'!$A:$A,'[1]F &amp; O'!D:D,"Sem Finder",0,1)</f>
        <v>Sem Finder</v>
      </c>
      <c r="S537" s="11" t="str">
        <f>_xlfn.XLOOKUP(Base_CRM[[#This Row],[Cód do Cliente]],'[1]F &amp; O'!$A:$A,'[1]F &amp; O'!E:E,"Sem Canal",0,1)</f>
        <v>Gestora</v>
      </c>
      <c r="T537" s="11" t="str">
        <f t="shared" si="8"/>
        <v>Cliente XP</v>
      </c>
    </row>
    <row r="538" spans="1:20" x14ac:dyDescent="0.3">
      <c r="A538">
        <v>6459264</v>
      </c>
      <c r="B538" s="8" t="s">
        <v>1225</v>
      </c>
      <c r="C538" s="9" t="s">
        <v>74</v>
      </c>
      <c r="D538" s="8">
        <v>41759.410000000003</v>
      </c>
      <c r="E538">
        <v>1000000</v>
      </c>
      <c r="F538" t="s">
        <v>29</v>
      </c>
      <c r="G538" t="s">
        <v>23</v>
      </c>
      <c r="H538" s="10">
        <v>34340</v>
      </c>
      <c r="I538" s="10" t="s">
        <v>349</v>
      </c>
      <c r="K538" t="s">
        <v>25</v>
      </c>
      <c r="L538" t="s">
        <v>1226</v>
      </c>
      <c r="N538" s="11" t="str">
        <f>Base_CRM[[#This Row],[Cidade]]&amp;"/"&amp;Base_CRM[[#This Row],[Estado]]</f>
        <v>São Paulo/</v>
      </c>
      <c r="O538" s="12">
        <f>IFERROR(IF(Base_CRM[[#This Row],[PL Tailor]]&gt;Base_CRM[[#This Row],[PL Declarado]],1,Base_CRM[[#This Row],[PL Tailor]]/Base_CRM[[#This Row],[PL Declarado]]),0)</f>
        <v>4.1759410000000004E-2</v>
      </c>
      <c r="P538" s="11" t="str">
        <f>IF(Base_CRM[[#This Row],[Estado Civil]]="","PESSOA JURÍDICA","PESSOA FÍSICA")</f>
        <v>PESSOA FÍSICA</v>
      </c>
      <c r="Q538" t="str">
        <f>_xlfn.XLOOKUP(Base_CRM[[#This Row],[Cód do Cliente]],'[1]F &amp; O'!$A:$A,'[1]F &amp; O'!$F:$F,_xlfn.XLOOKUP(Base_CRM[[#This Row],[Assessor]],[1]DePara!$A:$A,[1]DePara!$D:$D,"Outros",0,1),0,1)</f>
        <v>Thayane Freitas</v>
      </c>
      <c r="R538" s="11" t="str">
        <f>_xlfn.XLOOKUP(Base_CRM[[#This Row],[Cód do Cliente]],'[1]F &amp; O'!$A:$A,'[1]F &amp; O'!D:D,"Sem Finder",0,1)</f>
        <v>Sem Finder</v>
      </c>
      <c r="S538" s="11" t="str">
        <f>_xlfn.XLOOKUP(Base_CRM[[#This Row],[Cód do Cliente]],'[1]F &amp; O'!$A:$A,'[1]F &amp; O'!E:E,"Sem Canal",0,1)</f>
        <v>Sem Canal</v>
      </c>
      <c r="T538" s="11" t="str">
        <f t="shared" si="8"/>
        <v>Cliente XP</v>
      </c>
    </row>
    <row r="539" spans="1:20" x14ac:dyDescent="0.3">
      <c r="A539">
        <v>6697055</v>
      </c>
      <c r="B539" s="8" t="s">
        <v>1227</v>
      </c>
      <c r="C539" s="9" t="s">
        <v>103</v>
      </c>
      <c r="D539" s="8">
        <v>579221.78</v>
      </c>
      <c r="E539">
        <v>700000</v>
      </c>
      <c r="F539" t="s">
        <v>29</v>
      </c>
      <c r="G539" t="s">
        <v>96</v>
      </c>
      <c r="H539" s="10">
        <v>32755</v>
      </c>
      <c r="I539" s="10" t="s">
        <v>62</v>
      </c>
      <c r="K539" t="s">
        <v>42</v>
      </c>
      <c r="L539" t="s">
        <v>1228</v>
      </c>
      <c r="M539" t="s">
        <v>60</v>
      </c>
      <c r="N539" s="11" t="str">
        <f>Base_CRM[[#This Row],[Cidade]]&amp;"/"&amp;Base_CRM[[#This Row],[Estado]]</f>
        <v>Rio de Janeiro/</v>
      </c>
      <c r="O539" s="12">
        <f>IFERROR(IF(Base_CRM[[#This Row],[PL Tailor]]&gt;Base_CRM[[#This Row],[PL Declarado]],1,Base_CRM[[#This Row],[PL Tailor]]/Base_CRM[[#This Row],[PL Declarado]]),0)</f>
        <v>0.82745968571428574</v>
      </c>
      <c r="P539" s="11" t="str">
        <f>IF(Base_CRM[[#This Row],[Estado Civil]]="","PESSOA JURÍDICA","PESSOA FÍSICA")</f>
        <v>PESSOA FÍSICA</v>
      </c>
      <c r="Q539" t="str">
        <f>_xlfn.XLOOKUP(Base_CRM[[#This Row],[Cód do Cliente]],'[1]F &amp; O'!$A:$A,'[1]F &amp; O'!$F:$F,_xlfn.XLOOKUP(Base_CRM[[#This Row],[Assessor]],[1]DePara!$A:$A,[1]DePara!$D:$D,"Outros",0,1),0,1)</f>
        <v>Raphael Pereira</v>
      </c>
      <c r="R539" s="11" t="str">
        <f>_xlfn.XLOOKUP(Base_CRM[[#This Row],[Cód do Cliente]],'[1]F &amp; O'!$A:$A,'[1]F &amp; O'!D:D,"Sem Finder",0,1)</f>
        <v>Sem Finder</v>
      </c>
      <c r="S539" s="11" t="str">
        <f>_xlfn.XLOOKUP(Base_CRM[[#This Row],[Cód do Cliente]],'[1]F &amp; O'!$A:$A,'[1]F &amp; O'!E:E,"Sem Canal",0,1)</f>
        <v>Sem Canal</v>
      </c>
      <c r="T539" s="11" t="str">
        <f t="shared" si="8"/>
        <v>Cliente XP</v>
      </c>
    </row>
    <row r="540" spans="1:20" x14ac:dyDescent="0.3">
      <c r="A540">
        <v>6819799</v>
      </c>
      <c r="B540" s="8" t="s">
        <v>1229</v>
      </c>
      <c r="C540" s="9" t="s">
        <v>74</v>
      </c>
      <c r="D540" s="8">
        <v>0</v>
      </c>
      <c r="E540">
        <v>1</v>
      </c>
      <c r="F540" t="s">
        <v>29</v>
      </c>
      <c r="G540" t="s">
        <v>1230</v>
      </c>
      <c r="H540" s="10">
        <v>19548</v>
      </c>
      <c r="I540" s="10" t="s">
        <v>24</v>
      </c>
      <c r="K540" t="s">
        <v>68</v>
      </c>
      <c r="L540" t="s">
        <v>1231</v>
      </c>
      <c r="N540" s="11" t="str">
        <f>Base_CRM[[#This Row],[Cidade]]&amp;"/"&amp;Base_CRM[[#This Row],[Estado]]</f>
        <v>RIO DE JANEIRO/</v>
      </c>
      <c r="O540" s="12">
        <f>IFERROR(IF(Base_CRM[[#This Row],[PL Tailor]]&gt;Base_CRM[[#This Row],[PL Declarado]],1,Base_CRM[[#This Row],[PL Tailor]]/Base_CRM[[#This Row],[PL Declarado]]),0)</f>
        <v>0</v>
      </c>
      <c r="P540" s="11" t="str">
        <f>IF(Base_CRM[[#This Row],[Estado Civil]]="","PESSOA JURÍDICA","PESSOA FÍSICA")</f>
        <v>PESSOA FÍSICA</v>
      </c>
      <c r="Q540" t="str">
        <f>_xlfn.XLOOKUP(Base_CRM[[#This Row],[Cód do Cliente]],'[1]F &amp; O'!$A:$A,'[1]F &amp; O'!$F:$F,_xlfn.XLOOKUP(Base_CRM[[#This Row],[Assessor]],[1]DePara!$A:$A,[1]DePara!$D:$D,"Outros",0,1),0,1)</f>
        <v>Thayane Freitas</v>
      </c>
      <c r="R540" s="11" t="str">
        <f>_xlfn.XLOOKUP(Base_CRM[[#This Row],[Cód do Cliente]],'[1]F &amp; O'!$A:$A,'[1]F &amp; O'!D:D,"Sem Finder",0,1)</f>
        <v>Sem Finder</v>
      </c>
      <c r="S540" s="11" t="str">
        <f>_xlfn.XLOOKUP(Base_CRM[[#This Row],[Cód do Cliente]],'[1]F &amp; O'!$A:$A,'[1]F &amp; O'!E:E,"Sem Canal",0,1)</f>
        <v>Sem Canal</v>
      </c>
      <c r="T540" s="11" t="str">
        <f t="shared" si="8"/>
        <v>Cliente XP</v>
      </c>
    </row>
    <row r="541" spans="1:20" x14ac:dyDescent="0.3">
      <c r="A541">
        <v>6824268</v>
      </c>
      <c r="B541" s="8" t="s">
        <v>1232</v>
      </c>
      <c r="C541" s="9" t="s">
        <v>34</v>
      </c>
      <c r="D541" s="8">
        <v>2835284.97</v>
      </c>
      <c r="E541">
        <v>1200000</v>
      </c>
      <c r="F541" t="s">
        <v>22</v>
      </c>
      <c r="G541" t="s">
        <v>87</v>
      </c>
      <c r="H541" s="10">
        <v>31885</v>
      </c>
      <c r="I541" s="10" t="s">
        <v>1233</v>
      </c>
      <c r="K541" t="s">
        <v>25</v>
      </c>
      <c r="L541" t="s">
        <v>1234</v>
      </c>
      <c r="M541" t="s">
        <v>355</v>
      </c>
      <c r="N541" s="11" t="str">
        <f>Base_CRM[[#This Row],[Cidade]]&amp;"/"&amp;Base_CRM[[#This Row],[Estado]]</f>
        <v>São José do Rio Preto/</v>
      </c>
      <c r="O541" s="12">
        <f>IFERROR(IF(Base_CRM[[#This Row],[PL Tailor]]&gt;Base_CRM[[#This Row],[PL Declarado]],1,Base_CRM[[#This Row],[PL Tailor]]/Base_CRM[[#This Row],[PL Declarado]]),0)</f>
        <v>1</v>
      </c>
      <c r="P541" s="11" t="str">
        <f>IF(Base_CRM[[#This Row],[Estado Civil]]="","PESSOA JURÍDICA","PESSOA FÍSICA")</f>
        <v>PESSOA FÍSICA</v>
      </c>
      <c r="Q541" t="str">
        <f>_xlfn.XLOOKUP(Base_CRM[[#This Row],[Cód do Cliente]],'[1]F &amp; O'!$A:$A,'[1]F &amp; O'!$F:$F,_xlfn.XLOOKUP(Base_CRM[[#This Row],[Assessor]],[1]DePara!$A:$A,[1]DePara!$D:$D,"Outros",0,1),0,1)</f>
        <v>Adonias Noronha</v>
      </c>
      <c r="R541" s="11" t="str">
        <f>_xlfn.XLOOKUP(Base_CRM[[#This Row],[Cód do Cliente]],'[1]F &amp; O'!$A:$A,'[1]F &amp; O'!D:D,"Sem Finder",0,1)</f>
        <v>Sem Finder</v>
      </c>
      <c r="S541" s="11" t="str">
        <f>_xlfn.XLOOKUP(Base_CRM[[#This Row],[Cód do Cliente]],'[1]F &amp; O'!$A:$A,'[1]F &amp; O'!E:E,"Sem Canal",0,1)</f>
        <v>Sem Canal</v>
      </c>
      <c r="T541" s="11" t="str">
        <f t="shared" si="8"/>
        <v>Cliente XP</v>
      </c>
    </row>
    <row r="542" spans="1:20" x14ac:dyDescent="0.3">
      <c r="A542">
        <v>6854755</v>
      </c>
      <c r="B542" s="8" t="s">
        <v>1235</v>
      </c>
      <c r="C542" s="9" t="s">
        <v>34</v>
      </c>
      <c r="D542" s="8">
        <v>348314.61</v>
      </c>
      <c r="E542">
        <v>1000000</v>
      </c>
      <c r="F542" t="s">
        <v>29</v>
      </c>
      <c r="G542" t="s">
        <v>334</v>
      </c>
      <c r="H542" s="10">
        <v>25686</v>
      </c>
      <c r="I542" s="10" t="s">
        <v>31</v>
      </c>
      <c r="K542" t="s">
        <v>42</v>
      </c>
      <c r="L542" t="s">
        <v>1236</v>
      </c>
      <c r="N542" s="11" t="str">
        <f>Base_CRM[[#This Row],[Cidade]]&amp;"/"&amp;Base_CRM[[#This Row],[Estado]]</f>
        <v>SAO PAULO/</v>
      </c>
      <c r="O542" s="12">
        <f>IFERROR(IF(Base_CRM[[#This Row],[PL Tailor]]&gt;Base_CRM[[#This Row],[PL Declarado]],1,Base_CRM[[#This Row],[PL Tailor]]/Base_CRM[[#This Row],[PL Declarado]]),0)</f>
        <v>0.34831460999999997</v>
      </c>
      <c r="P542" s="11" t="str">
        <f>IF(Base_CRM[[#This Row],[Estado Civil]]="","PESSOA JURÍDICA","PESSOA FÍSICA")</f>
        <v>PESSOA FÍSICA</v>
      </c>
      <c r="Q542" t="str">
        <f>_xlfn.XLOOKUP(Base_CRM[[#This Row],[Cód do Cliente]],'[1]F &amp; O'!$A:$A,'[1]F &amp; O'!$F:$F,_xlfn.XLOOKUP(Base_CRM[[#This Row],[Assessor]],[1]DePara!$A:$A,[1]DePara!$D:$D,"Outros",0,1),0,1)</f>
        <v>Adonias Noronha</v>
      </c>
      <c r="R542" s="11" t="str">
        <f>_xlfn.XLOOKUP(Base_CRM[[#This Row],[Cód do Cliente]],'[1]F &amp; O'!$A:$A,'[1]F &amp; O'!D:D,"Sem Finder",0,1)</f>
        <v>Sem Finder</v>
      </c>
      <c r="S542" s="11" t="str">
        <f>_xlfn.XLOOKUP(Base_CRM[[#This Row],[Cód do Cliente]],'[1]F &amp; O'!$A:$A,'[1]F &amp; O'!E:E,"Sem Canal",0,1)</f>
        <v>Camila Corrêa</v>
      </c>
      <c r="T542" s="11" t="str">
        <f t="shared" si="8"/>
        <v>Cliente XP</v>
      </c>
    </row>
    <row r="543" spans="1:20" x14ac:dyDescent="0.3">
      <c r="A543">
        <v>6859159</v>
      </c>
      <c r="B543" s="8" t="s">
        <v>1237</v>
      </c>
      <c r="C543" s="9" t="s">
        <v>39</v>
      </c>
      <c r="D543" s="8">
        <v>1673.87</v>
      </c>
      <c r="E543">
        <v>200000</v>
      </c>
      <c r="F543" t="s">
        <v>92</v>
      </c>
      <c r="G543" t="s">
        <v>107</v>
      </c>
      <c r="H543" s="10">
        <v>24811</v>
      </c>
      <c r="I543" s="10" t="s">
        <v>31</v>
      </c>
      <c r="K543" t="s">
        <v>25</v>
      </c>
      <c r="L543" t="s">
        <v>1238</v>
      </c>
      <c r="N543" s="11" t="str">
        <f>Base_CRM[[#This Row],[Cidade]]&amp;"/"&amp;Base_CRM[[#This Row],[Estado]]</f>
        <v>SAO PAULO/</v>
      </c>
      <c r="O543" s="12">
        <f>IFERROR(IF(Base_CRM[[#This Row],[PL Tailor]]&gt;Base_CRM[[#This Row],[PL Declarado]],1,Base_CRM[[#This Row],[PL Tailor]]/Base_CRM[[#This Row],[PL Declarado]]),0)</f>
        <v>8.3693499999999994E-3</v>
      </c>
      <c r="P543" s="11" t="str">
        <f>IF(Base_CRM[[#This Row],[Estado Civil]]="","PESSOA JURÍDICA","PESSOA FÍSICA")</f>
        <v>PESSOA FÍSICA</v>
      </c>
      <c r="Q543" t="str">
        <f>_xlfn.XLOOKUP(Base_CRM[[#This Row],[Cód do Cliente]],'[1]F &amp; O'!$A:$A,'[1]F &amp; O'!$F:$F,_xlfn.XLOOKUP(Base_CRM[[#This Row],[Assessor]],[1]DePara!$A:$A,[1]DePara!$D:$D,"Outros",0,1),0,1)</f>
        <v>Gestora</v>
      </c>
      <c r="R543" s="11" t="str">
        <f>_xlfn.XLOOKUP(Base_CRM[[#This Row],[Cód do Cliente]],'[1]F &amp; O'!$A:$A,'[1]F &amp; O'!D:D,"Sem Finder",0,1)</f>
        <v>Sem Finder</v>
      </c>
      <c r="S543" s="11" t="str">
        <f>_xlfn.XLOOKUP(Base_CRM[[#This Row],[Cód do Cliente]],'[1]F &amp; O'!$A:$A,'[1]F &amp; O'!E:E,"Sem Canal",0,1)</f>
        <v>Gestora</v>
      </c>
      <c r="T543" s="11" t="str">
        <f t="shared" si="8"/>
        <v>Cliente XP</v>
      </c>
    </row>
    <row r="544" spans="1:20" x14ac:dyDescent="0.3">
      <c r="A544">
        <v>6892603</v>
      </c>
      <c r="B544" s="8" t="s">
        <v>1182</v>
      </c>
      <c r="C544" s="9" t="s">
        <v>74</v>
      </c>
      <c r="D544" s="8">
        <v>0</v>
      </c>
      <c r="E544">
        <v>1500000</v>
      </c>
      <c r="F544" t="s">
        <v>22</v>
      </c>
      <c r="G544" t="s">
        <v>71</v>
      </c>
      <c r="H544" s="10">
        <v>27832</v>
      </c>
      <c r="I544" s="10" t="s">
        <v>62</v>
      </c>
      <c r="K544" t="s">
        <v>25</v>
      </c>
      <c r="L544" t="s">
        <v>1183</v>
      </c>
      <c r="M544" t="s">
        <v>64</v>
      </c>
      <c r="N544" s="11" t="str">
        <f>Base_CRM[[#This Row],[Cidade]]&amp;"/"&amp;Base_CRM[[#This Row],[Estado]]</f>
        <v>Rio de Janeiro/</v>
      </c>
      <c r="O544" s="12">
        <f>IFERROR(IF(Base_CRM[[#This Row],[PL Tailor]]&gt;Base_CRM[[#This Row],[PL Declarado]],1,Base_CRM[[#This Row],[PL Tailor]]/Base_CRM[[#This Row],[PL Declarado]]),0)</f>
        <v>0</v>
      </c>
      <c r="P544" s="11" t="str">
        <f>IF(Base_CRM[[#This Row],[Estado Civil]]="","PESSOA JURÍDICA","PESSOA FÍSICA")</f>
        <v>PESSOA FÍSICA</v>
      </c>
      <c r="Q544" t="str">
        <f>_xlfn.XLOOKUP(Base_CRM[[#This Row],[Cód do Cliente]],'[1]F &amp; O'!$A:$A,'[1]F &amp; O'!$F:$F,_xlfn.XLOOKUP(Base_CRM[[#This Row],[Assessor]],[1]DePara!$A:$A,[1]DePara!$D:$D,"Outros",0,1),0,1)</f>
        <v>Thayane Freitas</v>
      </c>
      <c r="R544" s="11" t="str">
        <f>_xlfn.XLOOKUP(Base_CRM[[#This Row],[Cód do Cliente]],'[1]F &amp; O'!$A:$A,'[1]F &amp; O'!D:D,"Sem Finder",0,1)</f>
        <v>Sem Finder</v>
      </c>
      <c r="S544" s="11" t="str">
        <f>_xlfn.XLOOKUP(Base_CRM[[#This Row],[Cód do Cliente]],'[1]F &amp; O'!$A:$A,'[1]F &amp; O'!E:E,"Sem Canal",0,1)</f>
        <v>Sem Canal</v>
      </c>
      <c r="T544" s="11" t="str">
        <f t="shared" si="8"/>
        <v>Cliente XP</v>
      </c>
    </row>
    <row r="545" spans="1:20" x14ac:dyDescent="0.3">
      <c r="A545">
        <v>6899604</v>
      </c>
      <c r="B545" s="8" t="s">
        <v>1239</v>
      </c>
      <c r="C545" s="9" t="s">
        <v>21</v>
      </c>
      <c r="D545" s="8">
        <v>3146548.94</v>
      </c>
      <c r="E545">
        <v>1000000</v>
      </c>
      <c r="F545" t="s">
        <v>22</v>
      </c>
      <c r="G545" t="s">
        <v>306</v>
      </c>
      <c r="H545" s="10">
        <v>22454</v>
      </c>
      <c r="I545" s="10" t="s">
        <v>24</v>
      </c>
      <c r="K545" t="s">
        <v>42</v>
      </c>
      <c r="L545" t="s">
        <v>1240</v>
      </c>
      <c r="M545" t="s">
        <v>295</v>
      </c>
      <c r="N545" s="11" t="str">
        <f>Base_CRM[[#This Row],[Cidade]]&amp;"/"&amp;Base_CRM[[#This Row],[Estado]]</f>
        <v>RIO DE JANEIRO/</v>
      </c>
      <c r="O545" s="12">
        <f>IFERROR(IF(Base_CRM[[#This Row],[PL Tailor]]&gt;Base_CRM[[#This Row],[PL Declarado]],1,Base_CRM[[#This Row],[PL Tailor]]/Base_CRM[[#This Row],[PL Declarado]]),0)</f>
        <v>1</v>
      </c>
      <c r="P545" s="11" t="str">
        <f>IF(Base_CRM[[#This Row],[Estado Civil]]="","PESSOA JURÍDICA","PESSOA FÍSICA")</f>
        <v>PESSOA FÍSICA</v>
      </c>
      <c r="Q545" t="str">
        <f>_xlfn.XLOOKUP(Base_CRM[[#This Row],[Cód do Cliente]],'[1]F &amp; O'!$A:$A,'[1]F &amp; O'!$F:$F,_xlfn.XLOOKUP(Base_CRM[[#This Row],[Assessor]],[1]DePara!$A:$A,[1]DePara!$D:$D,"Outros",0,1),0,1)</f>
        <v>Leonardo Burle</v>
      </c>
      <c r="R545" s="11" t="str">
        <f>_xlfn.XLOOKUP(Base_CRM[[#This Row],[Cód do Cliente]],'[1]F &amp; O'!$A:$A,'[1]F &amp; O'!D:D,"Sem Finder",0,1)</f>
        <v>Sem Finder</v>
      </c>
      <c r="S545" s="11" t="str">
        <f>_xlfn.XLOOKUP(Base_CRM[[#This Row],[Cód do Cliente]],'[1]F &amp; O'!$A:$A,'[1]F &amp; O'!E:E,"Sem Canal",0,1)</f>
        <v>Sem Canal</v>
      </c>
      <c r="T545" s="11" t="str">
        <f t="shared" si="8"/>
        <v>Cliente XP</v>
      </c>
    </row>
    <row r="546" spans="1:20" x14ac:dyDescent="0.3">
      <c r="A546">
        <v>6948044</v>
      </c>
      <c r="B546" s="8" t="s">
        <v>1241</v>
      </c>
      <c r="C546" s="9" t="s">
        <v>34</v>
      </c>
      <c r="D546" s="8">
        <v>1589295.98</v>
      </c>
      <c r="E546">
        <v>1000000</v>
      </c>
      <c r="F546" t="s">
        <v>29</v>
      </c>
      <c r="G546" t="s">
        <v>67</v>
      </c>
      <c r="H546" s="10">
        <v>25730</v>
      </c>
      <c r="I546" s="10" t="s">
        <v>31</v>
      </c>
      <c r="K546" t="s">
        <v>68</v>
      </c>
      <c r="L546" t="s">
        <v>1242</v>
      </c>
      <c r="N546" s="11" t="str">
        <f>Base_CRM[[#This Row],[Cidade]]&amp;"/"&amp;Base_CRM[[#This Row],[Estado]]</f>
        <v>SAO PAULO/</v>
      </c>
      <c r="O546" s="12">
        <f>IFERROR(IF(Base_CRM[[#This Row],[PL Tailor]]&gt;Base_CRM[[#This Row],[PL Declarado]],1,Base_CRM[[#This Row],[PL Tailor]]/Base_CRM[[#This Row],[PL Declarado]]),0)</f>
        <v>1</v>
      </c>
      <c r="P546" s="11" t="str">
        <f>IF(Base_CRM[[#This Row],[Estado Civil]]="","PESSOA JURÍDICA","PESSOA FÍSICA")</f>
        <v>PESSOA FÍSICA</v>
      </c>
      <c r="Q546" t="str">
        <f>_xlfn.XLOOKUP(Base_CRM[[#This Row],[Cód do Cliente]],'[1]F &amp; O'!$A:$A,'[1]F &amp; O'!$F:$F,_xlfn.XLOOKUP(Base_CRM[[#This Row],[Assessor]],[1]DePara!$A:$A,[1]DePara!$D:$D,"Outros",0,1),0,1)</f>
        <v>Adonias Noronha</v>
      </c>
      <c r="R546" s="11" t="str">
        <f>_xlfn.XLOOKUP(Base_CRM[[#This Row],[Cód do Cliente]],'[1]F &amp; O'!$A:$A,'[1]F &amp; O'!D:D,"Sem Finder",0,1)</f>
        <v>Sem Finder</v>
      </c>
      <c r="S546" s="11" t="str">
        <f>_xlfn.XLOOKUP(Base_CRM[[#This Row],[Cód do Cliente]],'[1]F &amp; O'!$A:$A,'[1]F &amp; O'!E:E,"Sem Canal",0,1)</f>
        <v>Sem Canal</v>
      </c>
      <c r="T546" s="11" t="str">
        <f t="shared" si="8"/>
        <v>Cliente XP</v>
      </c>
    </row>
    <row r="547" spans="1:20" x14ac:dyDescent="0.3">
      <c r="A547">
        <v>7017579</v>
      </c>
      <c r="B547" s="8" t="s">
        <v>1243</v>
      </c>
      <c r="C547" s="9" t="s">
        <v>21</v>
      </c>
      <c r="D547" s="8">
        <v>0</v>
      </c>
      <c r="E547">
        <v>100000</v>
      </c>
      <c r="F547" t="s">
        <v>40</v>
      </c>
      <c r="G547" t="s">
        <v>228</v>
      </c>
      <c r="H547" s="10">
        <v>33395</v>
      </c>
      <c r="I547" s="10" t="s">
        <v>24</v>
      </c>
      <c r="K547" t="s">
        <v>25</v>
      </c>
      <c r="L547" t="s">
        <v>1244</v>
      </c>
      <c r="N547" s="11" t="str">
        <f>Base_CRM[[#This Row],[Cidade]]&amp;"/"&amp;Base_CRM[[#This Row],[Estado]]</f>
        <v>RIO DE JANEIRO/</v>
      </c>
      <c r="O547" s="12">
        <f>IFERROR(IF(Base_CRM[[#This Row],[PL Tailor]]&gt;Base_CRM[[#This Row],[PL Declarado]],1,Base_CRM[[#This Row],[PL Tailor]]/Base_CRM[[#This Row],[PL Declarado]]),0)</f>
        <v>0</v>
      </c>
      <c r="P547" s="11" t="str">
        <f>IF(Base_CRM[[#This Row],[Estado Civil]]="","PESSOA JURÍDICA","PESSOA FÍSICA")</f>
        <v>PESSOA FÍSICA</v>
      </c>
      <c r="Q547" t="str">
        <f>_xlfn.XLOOKUP(Base_CRM[[#This Row],[Cód do Cliente]],'[1]F &amp; O'!$A:$A,'[1]F &amp; O'!$F:$F,_xlfn.XLOOKUP(Base_CRM[[#This Row],[Assessor]],[1]DePara!$A:$A,[1]DePara!$D:$D,"Outros",0,1),0,1)</f>
        <v>Leonardo Burle</v>
      </c>
      <c r="R547" s="11" t="str">
        <f>_xlfn.XLOOKUP(Base_CRM[[#This Row],[Cód do Cliente]],'[1]F &amp; O'!$A:$A,'[1]F &amp; O'!D:D,"Sem Finder",0,1)</f>
        <v>Sem Finder</v>
      </c>
      <c r="S547" s="11" t="str">
        <f>_xlfn.XLOOKUP(Base_CRM[[#This Row],[Cód do Cliente]],'[1]F &amp; O'!$A:$A,'[1]F &amp; O'!E:E,"Sem Canal",0,1)</f>
        <v>Sem Canal</v>
      </c>
      <c r="T547" s="11" t="str">
        <f t="shared" si="8"/>
        <v>Cliente XP</v>
      </c>
    </row>
    <row r="548" spans="1:20" x14ac:dyDescent="0.3">
      <c r="A548">
        <v>7087168</v>
      </c>
      <c r="B548" s="8" t="s">
        <v>1245</v>
      </c>
      <c r="C548" s="9" t="s">
        <v>74</v>
      </c>
      <c r="D548" s="8">
        <v>0</v>
      </c>
      <c r="E548">
        <v>100</v>
      </c>
      <c r="F548" t="s">
        <v>40</v>
      </c>
      <c r="G548" t="s">
        <v>67</v>
      </c>
      <c r="H548" s="10">
        <v>31722</v>
      </c>
      <c r="I548" s="10" t="s">
        <v>24</v>
      </c>
      <c r="K548" t="s">
        <v>42</v>
      </c>
      <c r="L548" t="s">
        <v>1246</v>
      </c>
      <c r="N548" s="11" t="str">
        <f>Base_CRM[[#This Row],[Cidade]]&amp;"/"&amp;Base_CRM[[#This Row],[Estado]]</f>
        <v>RIO DE JANEIRO/</v>
      </c>
      <c r="O548" s="12">
        <f>IFERROR(IF(Base_CRM[[#This Row],[PL Tailor]]&gt;Base_CRM[[#This Row],[PL Declarado]],1,Base_CRM[[#This Row],[PL Tailor]]/Base_CRM[[#This Row],[PL Declarado]]),0)</f>
        <v>0</v>
      </c>
      <c r="P548" s="11" t="str">
        <f>IF(Base_CRM[[#This Row],[Estado Civil]]="","PESSOA JURÍDICA","PESSOA FÍSICA")</f>
        <v>PESSOA FÍSICA</v>
      </c>
      <c r="Q548" t="str">
        <f>_xlfn.XLOOKUP(Base_CRM[[#This Row],[Cód do Cliente]],'[1]F &amp; O'!$A:$A,'[1]F &amp; O'!$F:$F,_xlfn.XLOOKUP(Base_CRM[[#This Row],[Assessor]],[1]DePara!$A:$A,[1]DePara!$D:$D,"Outros",0,1),0,1)</f>
        <v>Thayane Freitas</v>
      </c>
      <c r="R548" s="11" t="str">
        <f>_xlfn.XLOOKUP(Base_CRM[[#This Row],[Cód do Cliente]],'[1]F &amp; O'!$A:$A,'[1]F &amp; O'!D:D,"Sem Finder",0,1)</f>
        <v>Sem Finder</v>
      </c>
      <c r="S548" s="11" t="str">
        <f>_xlfn.XLOOKUP(Base_CRM[[#This Row],[Cód do Cliente]],'[1]F &amp; O'!$A:$A,'[1]F &amp; O'!E:E,"Sem Canal",0,1)</f>
        <v>Sem Canal</v>
      </c>
      <c r="T548" s="11" t="str">
        <f t="shared" si="8"/>
        <v>Cliente XP</v>
      </c>
    </row>
    <row r="549" spans="1:20" x14ac:dyDescent="0.3">
      <c r="A549">
        <v>7089771</v>
      </c>
      <c r="B549" s="8" t="s">
        <v>1247</v>
      </c>
      <c r="C549" s="9" t="s">
        <v>39</v>
      </c>
      <c r="D549" s="8">
        <v>0</v>
      </c>
      <c r="E549">
        <v>0</v>
      </c>
      <c r="F549" t="s">
        <v>29</v>
      </c>
      <c r="G549" t="s">
        <v>87</v>
      </c>
      <c r="H549" s="10">
        <v>33221</v>
      </c>
      <c r="I549" s="10" t="s">
        <v>31</v>
      </c>
      <c r="K549" t="s">
        <v>25</v>
      </c>
      <c r="L549" t="s">
        <v>1248</v>
      </c>
      <c r="N549" s="11" t="str">
        <f>Base_CRM[[#This Row],[Cidade]]&amp;"/"&amp;Base_CRM[[#This Row],[Estado]]</f>
        <v>SAO PAULO/</v>
      </c>
      <c r="O549" s="12">
        <f>IFERROR(IF(Base_CRM[[#This Row],[PL Tailor]]&gt;Base_CRM[[#This Row],[PL Declarado]],1,Base_CRM[[#This Row],[PL Tailor]]/Base_CRM[[#This Row],[PL Declarado]]),0)</f>
        <v>0</v>
      </c>
      <c r="P549" s="11" t="str">
        <f>IF(Base_CRM[[#This Row],[Estado Civil]]="","PESSOA JURÍDICA","PESSOA FÍSICA")</f>
        <v>PESSOA FÍSICA</v>
      </c>
      <c r="Q549" t="str">
        <f>_xlfn.XLOOKUP(Base_CRM[[#This Row],[Cód do Cliente]],'[1]F &amp; O'!$A:$A,'[1]F &amp; O'!$F:$F,_xlfn.XLOOKUP(Base_CRM[[#This Row],[Assessor]],[1]DePara!$A:$A,[1]DePara!$D:$D,"Outros",0,1),0,1)</f>
        <v>Gestora</v>
      </c>
      <c r="R549" s="11" t="str">
        <f>_xlfn.XLOOKUP(Base_CRM[[#This Row],[Cód do Cliente]],'[1]F &amp; O'!$A:$A,'[1]F &amp; O'!D:D,"Sem Finder",0,1)</f>
        <v>Sem Finder</v>
      </c>
      <c r="S549" s="11" t="str">
        <f>_xlfn.XLOOKUP(Base_CRM[[#This Row],[Cód do Cliente]],'[1]F &amp; O'!$A:$A,'[1]F &amp; O'!E:E,"Sem Canal",0,1)</f>
        <v>Gestora</v>
      </c>
      <c r="T549" s="11" t="str">
        <f t="shared" si="8"/>
        <v>Cliente XP</v>
      </c>
    </row>
    <row r="550" spans="1:20" x14ac:dyDescent="0.3">
      <c r="A550">
        <v>7250411</v>
      </c>
      <c r="B550" s="8" t="s">
        <v>1249</v>
      </c>
      <c r="C550" s="9" t="s">
        <v>39</v>
      </c>
      <c r="D550" s="8">
        <v>0</v>
      </c>
      <c r="E550">
        <v>50000</v>
      </c>
      <c r="F550" t="s">
        <v>40</v>
      </c>
      <c r="G550" t="s">
        <v>87</v>
      </c>
      <c r="H550" s="10">
        <v>31141</v>
      </c>
      <c r="I550" s="10" t="s">
        <v>115</v>
      </c>
      <c r="K550" t="s">
        <v>42</v>
      </c>
      <c r="L550" t="s">
        <v>1250</v>
      </c>
      <c r="N550" s="11" t="str">
        <f>Base_CRM[[#This Row],[Cidade]]&amp;"/"&amp;Base_CRM[[#This Row],[Estado]]</f>
        <v>BARUERI/</v>
      </c>
      <c r="O550" s="12">
        <f>IFERROR(IF(Base_CRM[[#This Row],[PL Tailor]]&gt;Base_CRM[[#This Row],[PL Declarado]],1,Base_CRM[[#This Row],[PL Tailor]]/Base_CRM[[#This Row],[PL Declarado]]),0)</f>
        <v>0</v>
      </c>
      <c r="P550" s="11" t="str">
        <f>IF(Base_CRM[[#This Row],[Estado Civil]]="","PESSOA JURÍDICA","PESSOA FÍSICA")</f>
        <v>PESSOA FÍSICA</v>
      </c>
      <c r="Q550" t="str">
        <f>_xlfn.XLOOKUP(Base_CRM[[#This Row],[Cód do Cliente]],'[1]F &amp; O'!$A:$A,'[1]F &amp; O'!$F:$F,_xlfn.XLOOKUP(Base_CRM[[#This Row],[Assessor]],[1]DePara!$A:$A,[1]DePara!$D:$D,"Outros",0,1),0,1)</f>
        <v>Gestora</v>
      </c>
      <c r="R550" s="11" t="str">
        <f>_xlfn.XLOOKUP(Base_CRM[[#This Row],[Cód do Cliente]],'[1]F &amp; O'!$A:$A,'[1]F &amp; O'!D:D,"Sem Finder",0,1)</f>
        <v>Sem Finder</v>
      </c>
      <c r="S550" s="11" t="str">
        <f>_xlfn.XLOOKUP(Base_CRM[[#This Row],[Cód do Cliente]],'[1]F &amp; O'!$A:$A,'[1]F &amp; O'!E:E,"Sem Canal",0,1)</f>
        <v>Gestora</v>
      </c>
      <c r="T550" s="11" t="str">
        <f t="shared" si="8"/>
        <v>Cliente XP</v>
      </c>
    </row>
    <row r="551" spans="1:20" x14ac:dyDescent="0.3">
      <c r="A551">
        <v>7320536</v>
      </c>
      <c r="B551" s="8" t="s">
        <v>1251</v>
      </c>
      <c r="C551" s="9" t="s">
        <v>21</v>
      </c>
      <c r="D551" s="8">
        <v>0</v>
      </c>
      <c r="E551">
        <v>4500</v>
      </c>
      <c r="F551" t="s">
        <v>29</v>
      </c>
      <c r="G551" t="s">
        <v>23</v>
      </c>
      <c r="H551" s="10">
        <v>34642</v>
      </c>
      <c r="I551" s="10" t="s">
        <v>1252</v>
      </c>
      <c r="K551" t="s">
        <v>25</v>
      </c>
      <c r="L551" t="s">
        <v>1253</v>
      </c>
      <c r="N551" s="11" t="str">
        <f>Base_CRM[[#This Row],[Cidade]]&amp;"/"&amp;Base_CRM[[#This Row],[Estado]]</f>
        <v>MANAUS/</v>
      </c>
      <c r="O551" s="12">
        <f>IFERROR(IF(Base_CRM[[#This Row],[PL Tailor]]&gt;Base_CRM[[#This Row],[PL Declarado]],1,Base_CRM[[#This Row],[PL Tailor]]/Base_CRM[[#This Row],[PL Declarado]]),0)</f>
        <v>0</v>
      </c>
      <c r="P551" s="11" t="str">
        <f>IF(Base_CRM[[#This Row],[Estado Civil]]="","PESSOA JURÍDICA","PESSOA FÍSICA")</f>
        <v>PESSOA FÍSICA</v>
      </c>
      <c r="Q551" t="str">
        <f>_xlfn.XLOOKUP(Base_CRM[[#This Row],[Cód do Cliente]],'[1]F &amp; O'!$A:$A,'[1]F &amp; O'!$F:$F,_xlfn.XLOOKUP(Base_CRM[[#This Row],[Assessor]],[1]DePara!$A:$A,[1]DePara!$D:$D,"Outros",0,1),0,1)</f>
        <v>Leonardo Burle</v>
      </c>
      <c r="R551" s="11" t="str">
        <f>_xlfn.XLOOKUP(Base_CRM[[#This Row],[Cód do Cliente]],'[1]F &amp; O'!$A:$A,'[1]F &amp; O'!D:D,"Sem Finder",0,1)</f>
        <v>Sem Finder</v>
      </c>
      <c r="S551" s="11" t="str">
        <f>_xlfn.XLOOKUP(Base_CRM[[#This Row],[Cód do Cliente]],'[1]F &amp; O'!$A:$A,'[1]F &amp; O'!E:E,"Sem Canal",0,1)</f>
        <v>Sem Canal</v>
      </c>
      <c r="T551" s="11" t="str">
        <f t="shared" si="8"/>
        <v>Cliente XP</v>
      </c>
    </row>
    <row r="552" spans="1:20" x14ac:dyDescent="0.3">
      <c r="A552">
        <v>7405171</v>
      </c>
      <c r="B552" s="8" t="s">
        <v>1054</v>
      </c>
      <c r="C552" s="9" t="s">
        <v>39</v>
      </c>
      <c r="D552" s="8">
        <v>0</v>
      </c>
      <c r="E552">
        <v>10000000</v>
      </c>
      <c r="F552" t="s">
        <v>22</v>
      </c>
      <c r="G552" t="s">
        <v>87</v>
      </c>
      <c r="H552" s="10">
        <v>22736</v>
      </c>
      <c r="I552" s="10" t="s">
        <v>115</v>
      </c>
      <c r="K552" t="s">
        <v>42</v>
      </c>
      <c r="L552" t="s">
        <v>1055</v>
      </c>
      <c r="N552" s="11" t="str">
        <f>Base_CRM[[#This Row],[Cidade]]&amp;"/"&amp;Base_CRM[[#This Row],[Estado]]</f>
        <v>BARUERI/</v>
      </c>
      <c r="O552" s="12">
        <f>IFERROR(IF(Base_CRM[[#This Row],[PL Tailor]]&gt;Base_CRM[[#This Row],[PL Declarado]],1,Base_CRM[[#This Row],[PL Tailor]]/Base_CRM[[#This Row],[PL Declarado]]),0)</f>
        <v>0</v>
      </c>
      <c r="P552" s="11" t="str">
        <f>IF(Base_CRM[[#This Row],[Estado Civil]]="","PESSOA JURÍDICA","PESSOA FÍSICA")</f>
        <v>PESSOA FÍSICA</v>
      </c>
      <c r="Q552" t="str">
        <f>_xlfn.XLOOKUP(Base_CRM[[#This Row],[Cód do Cliente]],'[1]F &amp; O'!$A:$A,'[1]F &amp; O'!$F:$F,_xlfn.XLOOKUP(Base_CRM[[#This Row],[Assessor]],[1]DePara!$A:$A,[1]DePara!$D:$D,"Outros",0,1),0,1)</f>
        <v>Gestora</v>
      </c>
      <c r="R552" s="11" t="str">
        <f>_xlfn.XLOOKUP(Base_CRM[[#This Row],[Cód do Cliente]],'[1]F &amp; O'!$A:$A,'[1]F &amp; O'!D:D,"Sem Finder",0,1)</f>
        <v>Sem Finder</v>
      </c>
      <c r="S552" s="11" t="str">
        <f>_xlfn.XLOOKUP(Base_CRM[[#This Row],[Cód do Cliente]],'[1]F &amp; O'!$A:$A,'[1]F &amp; O'!E:E,"Sem Canal",0,1)</f>
        <v>Gestora</v>
      </c>
      <c r="T552" s="11" t="str">
        <f t="shared" si="8"/>
        <v>Cliente XP</v>
      </c>
    </row>
    <row r="553" spans="1:20" x14ac:dyDescent="0.3">
      <c r="A553">
        <v>7428783</v>
      </c>
      <c r="B553" s="8" t="s">
        <v>314</v>
      </c>
      <c r="C553" s="9" t="s">
        <v>48</v>
      </c>
      <c r="D553" s="8">
        <v>2486632.4700000002</v>
      </c>
      <c r="E553">
        <v>6000000</v>
      </c>
      <c r="F553" t="s">
        <v>22</v>
      </c>
      <c r="G553" t="s">
        <v>67</v>
      </c>
      <c r="H553" s="10">
        <v>24033</v>
      </c>
      <c r="I553" s="10" t="s">
        <v>315</v>
      </c>
      <c r="K553" t="s">
        <v>42</v>
      </c>
      <c r="L553" t="s">
        <v>316</v>
      </c>
      <c r="M553" t="s">
        <v>64</v>
      </c>
      <c r="N553" s="11" t="str">
        <f>Base_CRM[[#This Row],[Cidade]]&amp;"/"&amp;Base_CRM[[#This Row],[Estado]]</f>
        <v>Niterói/</v>
      </c>
      <c r="O553" s="12">
        <f>IFERROR(IF(Base_CRM[[#This Row],[PL Tailor]]&gt;Base_CRM[[#This Row],[PL Declarado]],1,Base_CRM[[#This Row],[PL Tailor]]/Base_CRM[[#This Row],[PL Declarado]]),0)</f>
        <v>0.41443874500000005</v>
      </c>
      <c r="P553" s="11" t="str">
        <f>IF(Base_CRM[[#This Row],[Estado Civil]]="","PESSOA JURÍDICA","PESSOA FÍSICA")</f>
        <v>PESSOA FÍSICA</v>
      </c>
      <c r="Q553" t="str">
        <f>_xlfn.XLOOKUP(Base_CRM[[#This Row],[Cód do Cliente]],'[1]F &amp; O'!$A:$A,'[1]F &amp; O'!$F:$F,_xlfn.XLOOKUP(Base_CRM[[#This Row],[Assessor]],[1]DePara!$A:$A,[1]DePara!$D:$D,"Outros",0,1),0,1)</f>
        <v>Raphael Farias</v>
      </c>
      <c r="R553" s="11" t="str">
        <f>_xlfn.XLOOKUP(Base_CRM[[#This Row],[Cód do Cliente]],'[1]F &amp; O'!$A:$A,'[1]F &amp; O'!D:D,"Sem Finder",0,1)</f>
        <v>Frederico Dantas</v>
      </c>
      <c r="S553" s="11" t="str">
        <f>_xlfn.XLOOKUP(Base_CRM[[#This Row],[Cód do Cliente]],'[1]F &amp; O'!$A:$A,'[1]F &amp; O'!E:E,"Sem Canal",0,1)</f>
        <v>Sem Canal</v>
      </c>
      <c r="T553" s="11" t="str">
        <f t="shared" si="8"/>
        <v>Cliente XP</v>
      </c>
    </row>
    <row r="554" spans="1:20" x14ac:dyDescent="0.3">
      <c r="A554">
        <v>7431174</v>
      </c>
      <c r="B554" s="8" t="s">
        <v>1254</v>
      </c>
      <c r="C554" s="9" t="s">
        <v>39</v>
      </c>
      <c r="D554" s="8">
        <v>-6.37</v>
      </c>
      <c r="E554">
        <v>1500000</v>
      </c>
      <c r="F554" t="s">
        <v>22</v>
      </c>
      <c r="G554" t="s">
        <v>334</v>
      </c>
      <c r="H554" s="10">
        <v>32549</v>
      </c>
      <c r="I554" s="10" t="s">
        <v>285</v>
      </c>
      <c r="K554" t="s">
        <v>42</v>
      </c>
      <c r="L554" t="s">
        <v>1255</v>
      </c>
      <c r="N554" s="11" t="str">
        <f>Base_CRM[[#This Row],[Cidade]]&amp;"/"&amp;Base_CRM[[#This Row],[Estado]]</f>
        <v>SANTANA DE PARNAIBA/</v>
      </c>
      <c r="O554" s="12">
        <f>IFERROR(IF(Base_CRM[[#This Row],[PL Tailor]]&gt;Base_CRM[[#This Row],[PL Declarado]],1,Base_CRM[[#This Row],[PL Tailor]]/Base_CRM[[#This Row],[PL Declarado]]),0)</f>
        <v>-4.2466666666666669E-6</v>
      </c>
      <c r="P554" s="11" t="str">
        <f>IF(Base_CRM[[#This Row],[Estado Civil]]="","PESSOA JURÍDICA","PESSOA FÍSICA")</f>
        <v>PESSOA FÍSICA</v>
      </c>
      <c r="Q554" t="str">
        <f>_xlfn.XLOOKUP(Base_CRM[[#This Row],[Cód do Cliente]],'[1]F &amp; O'!$A:$A,'[1]F &amp; O'!$F:$F,_xlfn.XLOOKUP(Base_CRM[[#This Row],[Assessor]],[1]DePara!$A:$A,[1]DePara!$D:$D,"Outros",0,1),0,1)</f>
        <v>Gestora</v>
      </c>
      <c r="R554" s="11" t="str">
        <f>_xlfn.XLOOKUP(Base_CRM[[#This Row],[Cód do Cliente]],'[1]F &amp; O'!$A:$A,'[1]F &amp; O'!D:D,"Sem Finder",0,1)</f>
        <v>Sem Finder</v>
      </c>
      <c r="S554" s="11" t="str">
        <f>_xlfn.XLOOKUP(Base_CRM[[#This Row],[Cód do Cliente]],'[1]F &amp; O'!$A:$A,'[1]F &amp; O'!E:E,"Sem Canal",0,1)</f>
        <v>Gestora</v>
      </c>
      <c r="T554" s="11" t="str">
        <f t="shared" si="8"/>
        <v>Cliente XP</v>
      </c>
    </row>
    <row r="555" spans="1:20" x14ac:dyDescent="0.3">
      <c r="A555">
        <v>7432343</v>
      </c>
      <c r="B555" s="8" t="s">
        <v>1256</v>
      </c>
      <c r="C555" s="9" t="s">
        <v>34</v>
      </c>
      <c r="D555" s="8">
        <v>930665.48</v>
      </c>
      <c r="E555">
        <v>1500000</v>
      </c>
      <c r="F555" t="s">
        <v>22</v>
      </c>
      <c r="G555" t="s">
        <v>87</v>
      </c>
      <c r="H555" s="10">
        <v>28108</v>
      </c>
      <c r="I555" s="10" t="s">
        <v>24</v>
      </c>
      <c r="K555" t="s">
        <v>42</v>
      </c>
      <c r="L555" t="s">
        <v>1257</v>
      </c>
      <c r="M555" t="s">
        <v>64</v>
      </c>
      <c r="N555" s="11" t="str">
        <f>Base_CRM[[#This Row],[Cidade]]&amp;"/"&amp;Base_CRM[[#This Row],[Estado]]</f>
        <v>RIO DE JANEIRO/</v>
      </c>
      <c r="O555" s="12">
        <f>IFERROR(IF(Base_CRM[[#This Row],[PL Tailor]]&gt;Base_CRM[[#This Row],[PL Declarado]],1,Base_CRM[[#This Row],[PL Tailor]]/Base_CRM[[#This Row],[PL Declarado]]),0)</f>
        <v>0.62044365333333329</v>
      </c>
      <c r="P555" s="11" t="str">
        <f>IF(Base_CRM[[#This Row],[Estado Civil]]="","PESSOA JURÍDICA","PESSOA FÍSICA")</f>
        <v>PESSOA FÍSICA</v>
      </c>
      <c r="Q555" t="str">
        <f>_xlfn.XLOOKUP(Base_CRM[[#This Row],[Cód do Cliente]],'[1]F &amp; O'!$A:$A,'[1]F &amp; O'!$F:$F,_xlfn.XLOOKUP(Base_CRM[[#This Row],[Assessor]],[1]DePara!$A:$A,[1]DePara!$D:$D,"Outros",0,1),0,1)</f>
        <v>Adonias Noronha</v>
      </c>
      <c r="R555" s="11" t="str">
        <f>_xlfn.XLOOKUP(Base_CRM[[#This Row],[Cód do Cliente]],'[1]F &amp; O'!$A:$A,'[1]F &amp; O'!D:D,"Sem Finder",0,1)</f>
        <v>Sem Finder</v>
      </c>
      <c r="S555" s="11" t="str">
        <f>_xlfn.XLOOKUP(Base_CRM[[#This Row],[Cód do Cliente]],'[1]F &amp; O'!$A:$A,'[1]F &amp; O'!E:E,"Sem Canal",0,1)</f>
        <v>Sem Canal</v>
      </c>
      <c r="T555" s="11" t="str">
        <f t="shared" si="8"/>
        <v>Cliente XP</v>
      </c>
    </row>
    <row r="556" spans="1:20" x14ac:dyDescent="0.3">
      <c r="A556">
        <v>750119</v>
      </c>
      <c r="B556" s="8" t="s">
        <v>1258</v>
      </c>
      <c r="C556" s="9" t="s">
        <v>74</v>
      </c>
      <c r="D556" s="8">
        <v>0</v>
      </c>
      <c r="E556">
        <v>10000</v>
      </c>
      <c r="F556" t="s">
        <v>22</v>
      </c>
      <c r="G556" t="s">
        <v>35</v>
      </c>
      <c r="H556" s="10">
        <v>32753</v>
      </c>
      <c r="I556" s="10" t="s">
        <v>1259</v>
      </c>
      <c r="K556" t="s">
        <v>42</v>
      </c>
      <c r="L556" t="s">
        <v>1260</v>
      </c>
      <c r="N556" s="11" t="str">
        <f>Base_CRM[[#This Row],[Cidade]]&amp;"/"&amp;Base_CRM[[#This Row],[Estado]]</f>
        <v>SANTA BARBARA D'OESTE/</v>
      </c>
      <c r="O556" s="12">
        <f>IFERROR(IF(Base_CRM[[#This Row],[PL Tailor]]&gt;Base_CRM[[#This Row],[PL Declarado]],1,Base_CRM[[#This Row],[PL Tailor]]/Base_CRM[[#This Row],[PL Declarado]]),0)</f>
        <v>0</v>
      </c>
      <c r="P556" s="11" t="str">
        <f>IF(Base_CRM[[#This Row],[Estado Civil]]="","PESSOA JURÍDICA","PESSOA FÍSICA")</f>
        <v>PESSOA FÍSICA</v>
      </c>
      <c r="Q556" t="str">
        <f>_xlfn.XLOOKUP(Base_CRM[[#This Row],[Cód do Cliente]],'[1]F &amp; O'!$A:$A,'[1]F &amp; O'!$F:$F,_xlfn.XLOOKUP(Base_CRM[[#This Row],[Assessor]],[1]DePara!$A:$A,[1]DePara!$D:$D,"Outros",0,1),0,1)</f>
        <v>Legado</v>
      </c>
      <c r="R556" s="11" t="str">
        <f>_xlfn.XLOOKUP(Base_CRM[[#This Row],[Cód do Cliente]],'[1]F &amp; O'!$A:$A,'[1]F &amp; O'!D:D,"Sem Finder",0,1)</f>
        <v>Sem Finder</v>
      </c>
      <c r="S556" s="11" t="str">
        <f>_xlfn.XLOOKUP(Base_CRM[[#This Row],[Cód do Cliente]],'[1]F &amp; O'!$A:$A,'[1]F &amp; O'!E:E,"Sem Canal",0,1)</f>
        <v>Gestora</v>
      </c>
      <c r="T556" s="11" t="str">
        <f t="shared" si="8"/>
        <v>Cliente XP</v>
      </c>
    </row>
    <row r="557" spans="1:20" x14ac:dyDescent="0.3">
      <c r="A557">
        <v>750274</v>
      </c>
      <c r="B557" s="8" t="s">
        <v>1261</v>
      </c>
      <c r="C557" s="9" t="s">
        <v>74</v>
      </c>
      <c r="D557" s="8">
        <v>0</v>
      </c>
      <c r="E557">
        <v>0</v>
      </c>
      <c r="F557" t="s">
        <v>22</v>
      </c>
      <c r="G557" t="s">
        <v>35</v>
      </c>
      <c r="H557" s="10">
        <v>27638</v>
      </c>
      <c r="I557" s="10" t="s">
        <v>31</v>
      </c>
      <c r="K557" t="s">
        <v>42</v>
      </c>
      <c r="L557" t="s">
        <v>1262</v>
      </c>
      <c r="N557" s="11" t="str">
        <f>Base_CRM[[#This Row],[Cidade]]&amp;"/"&amp;Base_CRM[[#This Row],[Estado]]</f>
        <v>SAO PAULO/</v>
      </c>
      <c r="O557" s="12">
        <f>IFERROR(IF(Base_CRM[[#This Row],[PL Tailor]]&gt;Base_CRM[[#This Row],[PL Declarado]],1,Base_CRM[[#This Row],[PL Tailor]]/Base_CRM[[#This Row],[PL Declarado]]),0)</f>
        <v>0</v>
      </c>
      <c r="P557" s="11" t="str">
        <f>IF(Base_CRM[[#This Row],[Estado Civil]]="","PESSOA JURÍDICA","PESSOA FÍSICA")</f>
        <v>PESSOA FÍSICA</v>
      </c>
      <c r="Q557" t="str">
        <f>_xlfn.XLOOKUP(Base_CRM[[#This Row],[Cód do Cliente]],'[1]F &amp; O'!$A:$A,'[1]F &amp; O'!$F:$F,_xlfn.XLOOKUP(Base_CRM[[#This Row],[Assessor]],[1]DePara!$A:$A,[1]DePara!$D:$D,"Outros",0,1),0,1)</f>
        <v>Legado</v>
      </c>
      <c r="R557" s="11" t="str">
        <f>_xlfn.XLOOKUP(Base_CRM[[#This Row],[Cód do Cliente]],'[1]F &amp; O'!$A:$A,'[1]F &amp; O'!D:D,"Sem Finder",0,1)</f>
        <v>Sem Finder</v>
      </c>
      <c r="S557" s="11" t="str">
        <f>_xlfn.XLOOKUP(Base_CRM[[#This Row],[Cód do Cliente]],'[1]F &amp; O'!$A:$A,'[1]F &amp; O'!E:E,"Sem Canal",0,1)</f>
        <v>Gestora</v>
      </c>
      <c r="T557" s="11" t="str">
        <f t="shared" si="8"/>
        <v>Cliente XP</v>
      </c>
    </row>
    <row r="558" spans="1:20" x14ac:dyDescent="0.3">
      <c r="A558">
        <v>750320</v>
      </c>
      <c r="B558" s="8" t="s">
        <v>1263</v>
      </c>
      <c r="C558" s="9" t="s">
        <v>74</v>
      </c>
      <c r="D558" s="8">
        <v>0</v>
      </c>
      <c r="E558">
        <v>0</v>
      </c>
      <c r="F558" t="s">
        <v>22</v>
      </c>
      <c r="G558" t="s">
        <v>1029</v>
      </c>
      <c r="H558" s="10">
        <v>34317</v>
      </c>
      <c r="I558" s="10" t="s">
        <v>31</v>
      </c>
      <c r="K558" t="s">
        <v>42</v>
      </c>
      <c r="L558" t="s">
        <v>1264</v>
      </c>
      <c r="N558" s="11" t="str">
        <f>Base_CRM[[#This Row],[Cidade]]&amp;"/"&amp;Base_CRM[[#This Row],[Estado]]</f>
        <v>SAO PAULO/</v>
      </c>
      <c r="O558" s="12">
        <f>IFERROR(IF(Base_CRM[[#This Row],[PL Tailor]]&gt;Base_CRM[[#This Row],[PL Declarado]],1,Base_CRM[[#This Row],[PL Tailor]]/Base_CRM[[#This Row],[PL Declarado]]),0)</f>
        <v>0</v>
      </c>
      <c r="P558" s="11" t="str">
        <f>IF(Base_CRM[[#This Row],[Estado Civil]]="","PESSOA JURÍDICA","PESSOA FÍSICA")</f>
        <v>PESSOA FÍSICA</v>
      </c>
      <c r="Q558" t="str">
        <f>_xlfn.XLOOKUP(Base_CRM[[#This Row],[Cód do Cliente]],'[1]F &amp; O'!$A:$A,'[1]F &amp; O'!$F:$F,_xlfn.XLOOKUP(Base_CRM[[#This Row],[Assessor]],[1]DePara!$A:$A,[1]DePara!$D:$D,"Outros",0,1),0,1)</f>
        <v>Legado</v>
      </c>
      <c r="R558" s="11" t="str">
        <f>_xlfn.XLOOKUP(Base_CRM[[#This Row],[Cód do Cliente]],'[1]F &amp; O'!$A:$A,'[1]F &amp; O'!D:D,"Sem Finder",0,1)</f>
        <v>Sem Finder</v>
      </c>
      <c r="S558" s="11" t="str">
        <f>_xlfn.XLOOKUP(Base_CRM[[#This Row],[Cód do Cliente]],'[1]F &amp; O'!$A:$A,'[1]F &amp; O'!E:E,"Sem Canal",0,1)</f>
        <v>Gestora</v>
      </c>
      <c r="T558" s="11" t="str">
        <f t="shared" si="8"/>
        <v>Cliente XP</v>
      </c>
    </row>
    <row r="559" spans="1:20" x14ac:dyDescent="0.3">
      <c r="A559">
        <v>7535723</v>
      </c>
      <c r="B559" s="8" t="s">
        <v>1265</v>
      </c>
      <c r="C559" s="9" t="s">
        <v>39</v>
      </c>
      <c r="D559" s="8">
        <v>100445.63</v>
      </c>
      <c r="E559">
        <v>288000</v>
      </c>
      <c r="F559" t="s">
        <v>29</v>
      </c>
      <c r="G559" t="s">
        <v>45</v>
      </c>
      <c r="H559" s="10">
        <v>38475</v>
      </c>
      <c r="I559" s="10" t="s">
        <v>31</v>
      </c>
      <c r="K559" t="s">
        <v>25</v>
      </c>
      <c r="L559" t="s">
        <v>1266</v>
      </c>
      <c r="N559" s="11" t="str">
        <f>Base_CRM[[#This Row],[Cidade]]&amp;"/"&amp;Base_CRM[[#This Row],[Estado]]</f>
        <v>SAO PAULO/</v>
      </c>
      <c r="O559" s="12">
        <f>IFERROR(IF(Base_CRM[[#This Row],[PL Tailor]]&gt;Base_CRM[[#This Row],[PL Declarado]],1,Base_CRM[[#This Row],[PL Tailor]]/Base_CRM[[#This Row],[PL Declarado]]),0)</f>
        <v>0.34876954861111115</v>
      </c>
      <c r="P559" s="11" t="str">
        <f>IF(Base_CRM[[#This Row],[Estado Civil]]="","PESSOA JURÍDICA","PESSOA FÍSICA")</f>
        <v>PESSOA FÍSICA</v>
      </c>
      <c r="Q559" t="str">
        <f>_xlfn.XLOOKUP(Base_CRM[[#This Row],[Cód do Cliente]],'[1]F &amp; O'!$A:$A,'[1]F &amp; O'!$F:$F,_xlfn.XLOOKUP(Base_CRM[[#This Row],[Assessor]],[1]DePara!$A:$A,[1]DePara!$D:$D,"Outros",0,1),0,1)</f>
        <v>Gestora</v>
      </c>
      <c r="R559" s="11" t="str">
        <f>_xlfn.XLOOKUP(Base_CRM[[#This Row],[Cód do Cliente]],'[1]F &amp; O'!$A:$A,'[1]F &amp; O'!D:D,"Sem Finder",0,1)</f>
        <v>Sem Finder</v>
      </c>
      <c r="S559" s="11" t="str">
        <f>_xlfn.XLOOKUP(Base_CRM[[#This Row],[Cód do Cliente]],'[1]F &amp; O'!$A:$A,'[1]F &amp; O'!E:E,"Sem Canal",0,1)</f>
        <v>Gestora</v>
      </c>
      <c r="T559" s="11" t="str">
        <f t="shared" si="8"/>
        <v>Cliente XP</v>
      </c>
    </row>
    <row r="560" spans="1:20" x14ac:dyDescent="0.3">
      <c r="A560">
        <v>7663588</v>
      </c>
      <c r="B560" s="8" t="s">
        <v>1267</v>
      </c>
      <c r="C560" s="9" t="s">
        <v>39</v>
      </c>
      <c r="D560" s="8">
        <v>0</v>
      </c>
      <c r="E560">
        <v>20000</v>
      </c>
      <c r="F560" t="s">
        <v>29</v>
      </c>
      <c r="G560" t="s">
        <v>35</v>
      </c>
      <c r="H560" s="10">
        <v>32064</v>
      </c>
      <c r="I560" s="10" t="s">
        <v>31</v>
      </c>
      <c r="K560" t="s">
        <v>42</v>
      </c>
      <c r="L560" t="s">
        <v>1268</v>
      </c>
      <c r="N560" s="11" t="str">
        <f>Base_CRM[[#This Row],[Cidade]]&amp;"/"&amp;Base_CRM[[#This Row],[Estado]]</f>
        <v>SAO PAULO/</v>
      </c>
      <c r="O560" s="12">
        <f>IFERROR(IF(Base_CRM[[#This Row],[PL Tailor]]&gt;Base_CRM[[#This Row],[PL Declarado]],1,Base_CRM[[#This Row],[PL Tailor]]/Base_CRM[[#This Row],[PL Declarado]]),0)</f>
        <v>0</v>
      </c>
      <c r="P560" s="11" t="str">
        <f>IF(Base_CRM[[#This Row],[Estado Civil]]="","PESSOA JURÍDICA","PESSOA FÍSICA")</f>
        <v>PESSOA FÍSICA</v>
      </c>
      <c r="Q560" t="str">
        <f>_xlfn.XLOOKUP(Base_CRM[[#This Row],[Cód do Cliente]],'[1]F &amp; O'!$A:$A,'[1]F &amp; O'!$F:$F,_xlfn.XLOOKUP(Base_CRM[[#This Row],[Assessor]],[1]DePara!$A:$A,[1]DePara!$D:$D,"Outros",0,1),0,1)</f>
        <v>Gestora</v>
      </c>
      <c r="R560" s="11" t="str">
        <f>_xlfn.XLOOKUP(Base_CRM[[#This Row],[Cód do Cliente]],'[1]F &amp; O'!$A:$A,'[1]F &amp; O'!D:D,"Sem Finder",0,1)</f>
        <v>Pedro Chagas</v>
      </c>
      <c r="S560" s="11" t="str">
        <f>_xlfn.XLOOKUP(Base_CRM[[#This Row],[Cód do Cliente]],'[1]F &amp; O'!$A:$A,'[1]F &amp; O'!E:E,"Sem Canal",0,1)</f>
        <v>Gestora</v>
      </c>
      <c r="T560" s="11" t="str">
        <f t="shared" si="8"/>
        <v>Cliente XP</v>
      </c>
    </row>
    <row r="561" spans="1:20" x14ac:dyDescent="0.3">
      <c r="A561">
        <v>7806685</v>
      </c>
      <c r="B561" s="8" t="s">
        <v>1269</v>
      </c>
      <c r="C561" s="9" t="s">
        <v>21</v>
      </c>
      <c r="D561" s="8">
        <v>985880.87</v>
      </c>
      <c r="E561">
        <v>3000000</v>
      </c>
      <c r="F561" t="s">
        <v>22</v>
      </c>
      <c r="G561" t="s">
        <v>1270</v>
      </c>
      <c r="H561" s="10">
        <v>31516</v>
      </c>
      <c r="I561" s="10" t="s">
        <v>24</v>
      </c>
      <c r="K561" t="s">
        <v>42</v>
      </c>
      <c r="L561" t="s">
        <v>1271</v>
      </c>
      <c r="N561" s="11" t="str">
        <f>Base_CRM[[#This Row],[Cidade]]&amp;"/"&amp;Base_CRM[[#This Row],[Estado]]</f>
        <v>RIO DE JANEIRO/</v>
      </c>
      <c r="O561" s="12">
        <f>IFERROR(IF(Base_CRM[[#This Row],[PL Tailor]]&gt;Base_CRM[[#This Row],[PL Declarado]],1,Base_CRM[[#This Row],[PL Tailor]]/Base_CRM[[#This Row],[PL Declarado]]),0)</f>
        <v>0.32862695666666669</v>
      </c>
      <c r="P561" s="11" t="str">
        <f>IF(Base_CRM[[#This Row],[Estado Civil]]="","PESSOA JURÍDICA","PESSOA FÍSICA")</f>
        <v>PESSOA FÍSICA</v>
      </c>
      <c r="Q561" t="str">
        <f>_xlfn.XLOOKUP(Base_CRM[[#This Row],[Cód do Cliente]],'[1]F &amp; O'!$A:$A,'[1]F &amp; O'!$F:$F,_xlfn.XLOOKUP(Base_CRM[[#This Row],[Assessor]],[1]DePara!$A:$A,[1]DePara!$D:$D,"Outros",0,1),0,1)</f>
        <v>Leonardo Burle</v>
      </c>
      <c r="R561" s="11" t="str">
        <f>_xlfn.XLOOKUP(Base_CRM[[#This Row],[Cód do Cliente]],'[1]F &amp; O'!$A:$A,'[1]F &amp; O'!D:D,"Sem Finder",0,1)</f>
        <v>Sem Finder</v>
      </c>
      <c r="S561" s="11" t="str">
        <f>_xlfn.XLOOKUP(Base_CRM[[#This Row],[Cód do Cliente]],'[1]F &amp; O'!$A:$A,'[1]F &amp; O'!E:E,"Sem Canal",0,1)</f>
        <v>Sem Canal</v>
      </c>
      <c r="T561" s="11" t="str">
        <f t="shared" si="8"/>
        <v>Cliente XP</v>
      </c>
    </row>
    <row r="562" spans="1:20" x14ac:dyDescent="0.3">
      <c r="A562">
        <v>7820461</v>
      </c>
      <c r="B562" s="8" t="s">
        <v>1272</v>
      </c>
      <c r="C562" s="9" t="s">
        <v>74</v>
      </c>
      <c r="D562" s="8">
        <v>226204.92</v>
      </c>
      <c r="E562">
        <v>1000000</v>
      </c>
      <c r="F562" t="s">
        <v>29</v>
      </c>
      <c r="G562" t="s">
        <v>127</v>
      </c>
      <c r="H562" s="10">
        <v>18901</v>
      </c>
      <c r="I562" s="10" t="s">
        <v>1273</v>
      </c>
      <c r="K562" t="s">
        <v>68</v>
      </c>
      <c r="L562" t="s">
        <v>1274</v>
      </c>
      <c r="M562" t="s">
        <v>77</v>
      </c>
      <c r="N562" s="11" t="str">
        <f>Base_CRM[[#This Row],[Cidade]]&amp;"/"&amp;Base_CRM[[#This Row],[Estado]]</f>
        <v>RIO DAS OSTRAS/</v>
      </c>
      <c r="O562" s="12">
        <f>IFERROR(IF(Base_CRM[[#This Row],[PL Tailor]]&gt;Base_CRM[[#This Row],[PL Declarado]],1,Base_CRM[[#This Row],[PL Tailor]]/Base_CRM[[#This Row],[PL Declarado]]),0)</f>
        <v>0.22620492</v>
      </c>
      <c r="P562" s="11" t="str">
        <f>IF(Base_CRM[[#This Row],[Estado Civil]]="","PESSOA JURÍDICA","PESSOA FÍSICA")</f>
        <v>PESSOA FÍSICA</v>
      </c>
      <c r="Q562" t="str">
        <f>_xlfn.XLOOKUP(Base_CRM[[#This Row],[Cód do Cliente]],'[1]F &amp; O'!$A:$A,'[1]F &amp; O'!$F:$F,_xlfn.XLOOKUP(Base_CRM[[#This Row],[Assessor]],[1]DePara!$A:$A,[1]DePara!$D:$D,"Outros",0,1),0,1)</f>
        <v>Thayane Freitas</v>
      </c>
      <c r="R562" s="11" t="str">
        <f>_xlfn.XLOOKUP(Base_CRM[[#This Row],[Cód do Cliente]],'[1]F &amp; O'!$A:$A,'[1]F &amp; O'!D:D,"Sem Finder",0,1)</f>
        <v>Sem Finder</v>
      </c>
      <c r="S562" s="11" t="str">
        <f>_xlfn.XLOOKUP(Base_CRM[[#This Row],[Cód do Cliente]],'[1]F &amp; O'!$A:$A,'[1]F &amp; O'!E:E,"Sem Canal",0,1)</f>
        <v>Sem Canal</v>
      </c>
      <c r="T562" s="11" t="str">
        <f t="shared" si="8"/>
        <v>Cliente XP</v>
      </c>
    </row>
    <row r="563" spans="1:20" x14ac:dyDescent="0.3">
      <c r="A563">
        <v>7973750</v>
      </c>
      <c r="B563" s="8" t="s">
        <v>1275</v>
      </c>
      <c r="C563" s="9" t="s">
        <v>48</v>
      </c>
      <c r="D563" s="8">
        <v>107937.62</v>
      </c>
      <c r="E563">
        <v>1200000</v>
      </c>
      <c r="F563" t="s">
        <v>29</v>
      </c>
      <c r="G563" t="s">
        <v>67</v>
      </c>
      <c r="H563" s="10">
        <v>30341</v>
      </c>
      <c r="I563" s="10" t="s">
        <v>324</v>
      </c>
      <c r="K563" t="s">
        <v>25</v>
      </c>
      <c r="L563" t="s">
        <v>1276</v>
      </c>
      <c r="N563" s="11" t="str">
        <f>Base_CRM[[#This Row],[Cidade]]&amp;"/"&amp;Base_CRM[[#This Row],[Estado]]</f>
        <v>JUNDIAI/</v>
      </c>
      <c r="O563" s="12">
        <f>IFERROR(IF(Base_CRM[[#This Row],[PL Tailor]]&gt;Base_CRM[[#This Row],[PL Declarado]],1,Base_CRM[[#This Row],[PL Tailor]]/Base_CRM[[#This Row],[PL Declarado]]),0)</f>
        <v>8.9948016666666658E-2</v>
      </c>
      <c r="P563" s="11" t="str">
        <f>IF(Base_CRM[[#This Row],[Estado Civil]]="","PESSOA JURÍDICA","PESSOA FÍSICA")</f>
        <v>PESSOA FÍSICA</v>
      </c>
      <c r="Q563" t="str">
        <f>_xlfn.XLOOKUP(Base_CRM[[#This Row],[Cód do Cliente]],'[1]F &amp; O'!$A:$A,'[1]F &amp; O'!$F:$F,_xlfn.XLOOKUP(Base_CRM[[#This Row],[Assessor]],[1]DePara!$A:$A,[1]DePara!$D:$D,"Outros",0,1),0,1)</f>
        <v>Raphael Farias</v>
      </c>
      <c r="R563" s="11" t="str">
        <f>_xlfn.XLOOKUP(Base_CRM[[#This Row],[Cód do Cliente]],'[1]F &amp; O'!$A:$A,'[1]F &amp; O'!D:D,"Sem Finder",0,1)</f>
        <v>José De Marchi</v>
      </c>
      <c r="S563" s="11" t="str">
        <f>_xlfn.XLOOKUP(Base_CRM[[#This Row],[Cód do Cliente]],'[1]F &amp; O'!$A:$A,'[1]F &amp; O'!E:E,"Sem Canal",0,1)</f>
        <v>Sem Canal</v>
      </c>
      <c r="T563" s="11" t="str">
        <f t="shared" si="8"/>
        <v>Cliente XP</v>
      </c>
    </row>
    <row r="564" spans="1:20" x14ac:dyDescent="0.3">
      <c r="A564">
        <v>7991901</v>
      </c>
      <c r="B564" s="8" t="s">
        <v>1277</v>
      </c>
      <c r="C564" s="9" t="s">
        <v>48</v>
      </c>
      <c r="D564" s="8">
        <v>0</v>
      </c>
      <c r="E564">
        <v>1600000</v>
      </c>
      <c r="F564" t="s">
        <v>29</v>
      </c>
      <c r="G564" t="s">
        <v>67</v>
      </c>
      <c r="H564" s="10">
        <v>21529</v>
      </c>
      <c r="I564" s="10" t="s">
        <v>397</v>
      </c>
      <c r="K564" t="s">
        <v>42</v>
      </c>
      <c r="L564" t="s">
        <v>1278</v>
      </c>
      <c r="N564" s="11" t="str">
        <f>Base_CRM[[#This Row],[Cidade]]&amp;"/"&amp;Base_CRM[[#This Row],[Estado]]</f>
        <v>TERESINA/</v>
      </c>
      <c r="O564" s="12">
        <f>IFERROR(IF(Base_CRM[[#This Row],[PL Tailor]]&gt;Base_CRM[[#This Row],[PL Declarado]],1,Base_CRM[[#This Row],[PL Tailor]]/Base_CRM[[#This Row],[PL Declarado]]),0)</f>
        <v>0</v>
      </c>
      <c r="P564" s="11" t="str">
        <f>IF(Base_CRM[[#This Row],[Estado Civil]]="","PESSOA JURÍDICA","PESSOA FÍSICA")</f>
        <v>PESSOA FÍSICA</v>
      </c>
      <c r="Q564" t="str">
        <f>_xlfn.XLOOKUP(Base_CRM[[#This Row],[Cód do Cliente]],'[1]F &amp; O'!$A:$A,'[1]F &amp; O'!$F:$F,_xlfn.XLOOKUP(Base_CRM[[#This Row],[Assessor]],[1]DePara!$A:$A,[1]DePara!$D:$D,"Outros",0,1),0,1)</f>
        <v>Raphael Farias</v>
      </c>
      <c r="R564" s="11" t="str">
        <f>_xlfn.XLOOKUP(Base_CRM[[#This Row],[Cód do Cliente]],'[1]F &amp; O'!$A:$A,'[1]F &amp; O'!D:D,"Sem Finder",0,1)</f>
        <v>Sem Finder</v>
      </c>
      <c r="S564" s="11" t="str">
        <f>_xlfn.XLOOKUP(Base_CRM[[#This Row],[Cód do Cliente]],'[1]F &amp; O'!$A:$A,'[1]F &amp; O'!E:E,"Sem Canal",0,1)</f>
        <v>Sem Canal</v>
      </c>
      <c r="T564" s="11" t="str">
        <f t="shared" si="8"/>
        <v>Cliente XP</v>
      </c>
    </row>
    <row r="565" spans="1:20" x14ac:dyDescent="0.3">
      <c r="A565">
        <v>8027599</v>
      </c>
      <c r="B565" s="8" t="s">
        <v>1279</v>
      </c>
      <c r="C565" s="9" t="s">
        <v>21</v>
      </c>
      <c r="D565" s="8">
        <v>234248.16</v>
      </c>
      <c r="E565">
        <v>1000000</v>
      </c>
      <c r="F565" t="s">
        <v>29</v>
      </c>
      <c r="G565" t="s">
        <v>1280</v>
      </c>
      <c r="H565" s="10">
        <v>33167</v>
      </c>
      <c r="I565" s="10" t="s">
        <v>62</v>
      </c>
      <c r="K565" t="s">
        <v>25</v>
      </c>
      <c r="L565" t="s">
        <v>1281</v>
      </c>
      <c r="N565" s="11" t="str">
        <f>Base_CRM[[#This Row],[Cidade]]&amp;"/"&amp;Base_CRM[[#This Row],[Estado]]</f>
        <v>Rio de Janeiro/</v>
      </c>
      <c r="O565" s="12">
        <f>IFERROR(IF(Base_CRM[[#This Row],[PL Tailor]]&gt;Base_CRM[[#This Row],[PL Declarado]],1,Base_CRM[[#This Row],[PL Tailor]]/Base_CRM[[#This Row],[PL Declarado]]),0)</f>
        <v>0.23424816000000001</v>
      </c>
      <c r="P565" s="11" t="str">
        <f>IF(Base_CRM[[#This Row],[Estado Civil]]="","PESSOA JURÍDICA","PESSOA FÍSICA")</f>
        <v>PESSOA FÍSICA</v>
      </c>
      <c r="Q565" t="str">
        <f>_xlfn.XLOOKUP(Base_CRM[[#This Row],[Cód do Cliente]],'[1]F &amp; O'!$A:$A,'[1]F &amp; O'!$F:$F,_xlfn.XLOOKUP(Base_CRM[[#This Row],[Assessor]],[1]DePara!$A:$A,[1]DePara!$D:$D,"Outros",0,1),0,1)</f>
        <v>Leonardo Burle</v>
      </c>
      <c r="R565" s="11" t="str">
        <f>_xlfn.XLOOKUP(Base_CRM[[#This Row],[Cód do Cliente]],'[1]F &amp; O'!$A:$A,'[1]F &amp; O'!D:D,"Sem Finder",0,1)</f>
        <v>Sem Finder</v>
      </c>
      <c r="S565" s="11" t="str">
        <f>_xlfn.XLOOKUP(Base_CRM[[#This Row],[Cód do Cliente]],'[1]F &amp; O'!$A:$A,'[1]F &amp; O'!E:E,"Sem Canal",0,1)</f>
        <v>Sem Canal</v>
      </c>
      <c r="T565" s="11" t="str">
        <f t="shared" si="8"/>
        <v>Cliente XP</v>
      </c>
    </row>
    <row r="566" spans="1:20" x14ac:dyDescent="0.3">
      <c r="A566">
        <v>8061683</v>
      </c>
      <c r="B566" s="8" t="s">
        <v>1282</v>
      </c>
      <c r="C566" s="9" t="s">
        <v>39</v>
      </c>
      <c r="D566" s="8">
        <v>294891.2</v>
      </c>
      <c r="E566">
        <v>70000</v>
      </c>
      <c r="F566" t="s">
        <v>22</v>
      </c>
      <c r="G566" t="s">
        <v>87</v>
      </c>
      <c r="H566" s="10">
        <v>31687</v>
      </c>
      <c r="I566" s="10" t="s">
        <v>31</v>
      </c>
      <c r="K566" t="s">
        <v>42</v>
      </c>
      <c r="L566" t="s">
        <v>1283</v>
      </c>
      <c r="N566" s="11" t="str">
        <f>Base_CRM[[#This Row],[Cidade]]&amp;"/"&amp;Base_CRM[[#This Row],[Estado]]</f>
        <v>SAO PAULO/</v>
      </c>
      <c r="O566" s="12">
        <f>IFERROR(IF(Base_CRM[[#This Row],[PL Tailor]]&gt;Base_CRM[[#This Row],[PL Declarado]],1,Base_CRM[[#This Row],[PL Tailor]]/Base_CRM[[#This Row],[PL Declarado]]),0)</f>
        <v>1</v>
      </c>
      <c r="P566" s="11" t="str">
        <f>IF(Base_CRM[[#This Row],[Estado Civil]]="","PESSOA JURÍDICA","PESSOA FÍSICA")</f>
        <v>PESSOA FÍSICA</v>
      </c>
      <c r="Q566" t="str">
        <f>_xlfn.XLOOKUP(Base_CRM[[#This Row],[Cód do Cliente]],'[1]F &amp; O'!$A:$A,'[1]F &amp; O'!$F:$F,_xlfn.XLOOKUP(Base_CRM[[#This Row],[Assessor]],[1]DePara!$A:$A,[1]DePara!$D:$D,"Outros",0,1),0,1)</f>
        <v>Gestora</v>
      </c>
      <c r="R566" s="11" t="str">
        <f>_xlfn.XLOOKUP(Base_CRM[[#This Row],[Cód do Cliente]],'[1]F &amp; O'!$A:$A,'[1]F &amp; O'!D:D,"Sem Finder",0,1)</f>
        <v>Sem Finder</v>
      </c>
      <c r="S566" s="11" t="str">
        <f>_xlfn.XLOOKUP(Base_CRM[[#This Row],[Cód do Cliente]],'[1]F &amp; O'!$A:$A,'[1]F &amp; O'!E:E,"Sem Canal",0,1)</f>
        <v>Gestora</v>
      </c>
      <c r="T566" s="11" t="str">
        <f t="shared" si="8"/>
        <v>Cliente XP</v>
      </c>
    </row>
    <row r="567" spans="1:20" x14ac:dyDescent="0.3">
      <c r="A567">
        <v>8085370</v>
      </c>
      <c r="B567" s="8" t="s">
        <v>1284</v>
      </c>
      <c r="C567" s="9" t="s">
        <v>74</v>
      </c>
      <c r="D567" s="8">
        <v>0</v>
      </c>
      <c r="E567">
        <v>50</v>
      </c>
      <c r="F567" t="s">
        <v>29</v>
      </c>
      <c r="G567" t="s">
        <v>929</v>
      </c>
      <c r="H567" s="10">
        <v>33505</v>
      </c>
      <c r="I567" s="10" t="s">
        <v>566</v>
      </c>
      <c r="K567" t="s">
        <v>25</v>
      </c>
      <c r="L567" t="s">
        <v>1285</v>
      </c>
      <c r="N567" s="11" t="str">
        <f>Base_CRM[[#This Row],[Cidade]]&amp;"/"&amp;Base_CRM[[#This Row],[Estado]]</f>
        <v>VITORIA/</v>
      </c>
      <c r="O567" s="12">
        <f>IFERROR(IF(Base_CRM[[#This Row],[PL Tailor]]&gt;Base_CRM[[#This Row],[PL Declarado]],1,Base_CRM[[#This Row],[PL Tailor]]/Base_CRM[[#This Row],[PL Declarado]]),0)</f>
        <v>0</v>
      </c>
      <c r="P567" s="11" t="str">
        <f>IF(Base_CRM[[#This Row],[Estado Civil]]="","PESSOA JURÍDICA","PESSOA FÍSICA")</f>
        <v>PESSOA FÍSICA</v>
      </c>
      <c r="Q567" t="str">
        <f>_xlfn.XLOOKUP(Base_CRM[[#This Row],[Cód do Cliente]],'[1]F &amp; O'!$A:$A,'[1]F &amp; O'!$F:$F,_xlfn.XLOOKUP(Base_CRM[[#This Row],[Assessor]],[1]DePara!$A:$A,[1]DePara!$D:$D,"Outros",0,1),0,1)</f>
        <v>Thayane Freitas</v>
      </c>
      <c r="R567" s="11" t="str">
        <f>_xlfn.XLOOKUP(Base_CRM[[#This Row],[Cód do Cliente]],'[1]F &amp; O'!$A:$A,'[1]F &amp; O'!D:D,"Sem Finder",0,1)</f>
        <v>Sem Finder</v>
      </c>
      <c r="S567" s="11" t="str">
        <f>_xlfn.XLOOKUP(Base_CRM[[#This Row],[Cód do Cliente]],'[1]F &amp; O'!$A:$A,'[1]F &amp; O'!E:E,"Sem Canal",0,1)</f>
        <v>Sem Canal</v>
      </c>
      <c r="T567" s="11" t="str">
        <f t="shared" si="8"/>
        <v>Cliente XP</v>
      </c>
    </row>
    <row r="568" spans="1:20" x14ac:dyDescent="0.3">
      <c r="A568">
        <v>8094367</v>
      </c>
      <c r="B568" s="8" t="s">
        <v>1286</v>
      </c>
      <c r="C568" s="9" t="s">
        <v>34</v>
      </c>
      <c r="D568" s="8">
        <v>97318.71</v>
      </c>
      <c r="E568">
        <v>20000</v>
      </c>
      <c r="F568" t="s">
        <v>29</v>
      </c>
      <c r="G568" t="s">
        <v>228</v>
      </c>
      <c r="H568" s="10">
        <v>30239</v>
      </c>
      <c r="I568" s="10" t="s">
        <v>24</v>
      </c>
      <c r="K568" t="s">
        <v>25</v>
      </c>
      <c r="L568" t="s">
        <v>1287</v>
      </c>
      <c r="M568" t="s">
        <v>90</v>
      </c>
      <c r="N568" s="11" t="str">
        <f>Base_CRM[[#This Row],[Cidade]]&amp;"/"&amp;Base_CRM[[#This Row],[Estado]]</f>
        <v>RIO DE JANEIRO/</v>
      </c>
      <c r="O568" s="12">
        <f>IFERROR(IF(Base_CRM[[#This Row],[PL Tailor]]&gt;Base_CRM[[#This Row],[PL Declarado]],1,Base_CRM[[#This Row],[PL Tailor]]/Base_CRM[[#This Row],[PL Declarado]]),0)</f>
        <v>1</v>
      </c>
      <c r="P568" s="11" t="str">
        <f>IF(Base_CRM[[#This Row],[Estado Civil]]="","PESSOA JURÍDICA","PESSOA FÍSICA")</f>
        <v>PESSOA FÍSICA</v>
      </c>
      <c r="Q568" t="str">
        <f>_xlfn.XLOOKUP(Base_CRM[[#This Row],[Cód do Cliente]],'[1]F &amp; O'!$A:$A,'[1]F &amp; O'!$F:$F,_xlfn.XLOOKUP(Base_CRM[[#This Row],[Assessor]],[1]DePara!$A:$A,[1]DePara!$D:$D,"Outros",0,1),0,1)</f>
        <v>Adonias Noronha</v>
      </c>
      <c r="R568" s="11" t="str">
        <f>_xlfn.XLOOKUP(Base_CRM[[#This Row],[Cód do Cliente]],'[1]F &amp; O'!$A:$A,'[1]F &amp; O'!D:D,"Sem Finder",0,1)</f>
        <v>Sem Finder</v>
      </c>
      <c r="S568" s="11" t="str">
        <f>_xlfn.XLOOKUP(Base_CRM[[#This Row],[Cód do Cliente]],'[1]F &amp; O'!$A:$A,'[1]F &amp; O'!E:E,"Sem Canal",0,1)</f>
        <v>Sem Canal</v>
      </c>
      <c r="T568" s="11" t="str">
        <f t="shared" si="8"/>
        <v>Cliente XP</v>
      </c>
    </row>
    <row r="569" spans="1:20" x14ac:dyDescent="0.3">
      <c r="A569">
        <v>8117092</v>
      </c>
      <c r="B569" s="8" t="s">
        <v>1288</v>
      </c>
      <c r="C569" s="9" t="s">
        <v>21</v>
      </c>
      <c r="D569" s="8">
        <v>686633.34</v>
      </c>
      <c r="E569">
        <v>1500000</v>
      </c>
      <c r="F569" t="s">
        <v>22</v>
      </c>
      <c r="G569" t="s">
        <v>491</v>
      </c>
      <c r="H569" s="10">
        <v>24755</v>
      </c>
      <c r="I569" s="10" t="s">
        <v>463</v>
      </c>
      <c r="K569" t="s">
        <v>25</v>
      </c>
      <c r="L569" t="s">
        <v>1289</v>
      </c>
      <c r="N569" s="11" t="str">
        <f>Base_CRM[[#This Row],[Cidade]]&amp;"/"&amp;Base_CRM[[#This Row],[Estado]]</f>
        <v>BRASILIA/</v>
      </c>
      <c r="O569" s="12">
        <f>IFERROR(IF(Base_CRM[[#This Row],[PL Tailor]]&gt;Base_CRM[[#This Row],[PL Declarado]],1,Base_CRM[[#This Row],[PL Tailor]]/Base_CRM[[#This Row],[PL Declarado]]),0)</f>
        <v>0.45775556000000001</v>
      </c>
      <c r="P569" s="11" t="str">
        <f>IF(Base_CRM[[#This Row],[Estado Civil]]="","PESSOA JURÍDICA","PESSOA FÍSICA")</f>
        <v>PESSOA FÍSICA</v>
      </c>
      <c r="Q569" t="str">
        <f>_xlfn.XLOOKUP(Base_CRM[[#This Row],[Cód do Cliente]],'[1]F &amp; O'!$A:$A,'[1]F &amp; O'!$F:$F,_xlfn.XLOOKUP(Base_CRM[[#This Row],[Assessor]],[1]DePara!$A:$A,[1]DePara!$D:$D,"Outros",0,1),0,1)</f>
        <v>Leonardo Burle</v>
      </c>
      <c r="R569" s="11" t="str">
        <f>_xlfn.XLOOKUP(Base_CRM[[#This Row],[Cód do Cliente]],'[1]F &amp; O'!$A:$A,'[1]F &amp; O'!D:D,"Sem Finder",0,1)</f>
        <v>Sem Finder</v>
      </c>
      <c r="S569" s="11" t="str">
        <f>_xlfn.XLOOKUP(Base_CRM[[#This Row],[Cód do Cliente]],'[1]F &amp; O'!$A:$A,'[1]F &amp; O'!E:E,"Sem Canal",0,1)</f>
        <v>Sem Canal</v>
      </c>
      <c r="T569" s="11" t="str">
        <f t="shared" si="8"/>
        <v>Cliente XP</v>
      </c>
    </row>
    <row r="570" spans="1:20" x14ac:dyDescent="0.3">
      <c r="A570">
        <v>8147729</v>
      </c>
      <c r="B570" s="8" t="s">
        <v>225</v>
      </c>
      <c r="C570" s="9" t="s">
        <v>39</v>
      </c>
      <c r="D570" s="8">
        <v>752746.76</v>
      </c>
      <c r="E570">
        <v>1200000</v>
      </c>
      <c r="F570" t="s">
        <v>22</v>
      </c>
      <c r="G570" t="s">
        <v>67</v>
      </c>
      <c r="H570" s="10">
        <v>22993</v>
      </c>
      <c r="I570" s="10" t="s">
        <v>31</v>
      </c>
      <c r="K570" t="s">
        <v>42</v>
      </c>
      <c r="L570" t="s">
        <v>226</v>
      </c>
      <c r="N570" s="11" t="str">
        <f>Base_CRM[[#This Row],[Cidade]]&amp;"/"&amp;Base_CRM[[#This Row],[Estado]]</f>
        <v>SAO PAULO/</v>
      </c>
      <c r="O570" s="12">
        <f>IFERROR(IF(Base_CRM[[#This Row],[PL Tailor]]&gt;Base_CRM[[#This Row],[PL Declarado]],1,Base_CRM[[#This Row],[PL Tailor]]/Base_CRM[[#This Row],[PL Declarado]]),0)</f>
        <v>0.62728896666666667</v>
      </c>
      <c r="P570" s="11" t="str">
        <f>IF(Base_CRM[[#This Row],[Estado Civil]]="","PESSOA JURÍDICA","PESSOA FÍSICA")</f>
        <v>PESSOA FÍSICA</v>
      </c>
      <c r="Q570" t="str">
        <f>_xlfn.XLOOKUP(Base_CRM[[#This Row],[Cód do Cliente]],'[1]F &amp; O'!$A:$A,'[1]F &amp; O'!$F:$F,_xlfn.XLOOKUP(Base_CRM[[#This Row],[Assessor]],[1]DePara!$A:$A,[1]DePara!$D:$D,"Outros",0,1),0,1)</f>
        <v>Gestora</v>
      </c>
      <c r="R570" s="11" t="str">
        <f>_xlfn.XLOOKUP(Base_CRM[[#This Row],[Cód do Cliente]],'[1]F &amp; O'!$A:$A,'[1]F &amp; O'!D:D,"Sem Finder",0,1)</f>
        <v>Pedro Chagas</v>
      </c>
      <c r="S570" s="11" t="str">
        <f>_xlfn.XLOOKUP(Base_CRM[[#This Row],[Cód do Cliente]],'[1]F &amp; O'!$A:$A,'[1]F &amp; O'!E:E,"Sem Canal",0,1)</f>
        <v>Gestora</v>
      </c>
      <c r="T570" s="11" t="str">
        <f t="shared" si="8"/>
        <v>Cliente XP</v>
      </c>
    </row>
    <row r="571" spans="1:20" x14ac:dyDescent="0.3">
      <c r="A571">
        <v>8158418</v>
      </c>
      <c r="B571" s="8" t="s">
        <v>610</v>
      </c>
      <c r="C571" s="9" t="s">
        <v>21</v>
      </c>
      <c r="D571" s="8">
        <v>63483229.920000002</v>
      </c>
      <c r="E571">
        <v>10000000</v>
      </c>
      <c r="F571" t="s">
        <v>22</v>
      </c>
      <c r="G571" t="s">
        <v>96</v>
      </c>
      <c r="H571" s="10">
        <v>34167</v>
      </c>
      <c r="I571" s="10" t="s">
        <v>24</v>
      </c>
      <c r="K571" t="s">
        <v>25</v>
      </c>
      <c r="L571" t="s">
        <v>611</v>
      </c>
      <c r="M571" t="s">
        <v>64</v>
      </c>
      <c r="N571" s="11" t="str">
        <f>Base_CRM[[#This Row],[Cidade]]&amp;"/"&amp;Base_CRM[[#This Row],[Estado]]</f>
        <v>RIO DE JANEIRO/</v>
      </c>
      <c r="O571" s="12">
        <f>IFERROR(IF(Base_CRM[[#This Row],[PL Tailor]]&gt;Base_CRM[[#This Row],[PL Declarado]],1,Base_CRM[[#This Row],[PL Tailor]]/Base_CRM[[#This Row],[PL Declarado]]),0)</f>
        <v>1</v>
      </c>
      <c r="P571" s="11" t="str">
        <f>IF(Base_CRM[[#This Row],[Estado Civil]]="","PESSOA JURÍDICA","PESSOA FÍSICA")</f>
        <v>PESSOA FÍSICA</v>
      </c>
      <c r="Q571" t="str">
        <f>_xlfn.XLOOKUP(Base_CRM[[#This Row],[Cód do Cliente]],'[1]F &amp; O'!$A:$A,'[1]F &amp; O'!$F:$F,_xlfn.XLOOKUP(Base_CRM[[#This Row],[Assessor]],[1]DePara!$A:$A,[1]DePara!$D:$D,"Outros",0,1),0,1)</f>
        <v>Leonardo Burle</v>
      </c>
      <c r="R571" s="11" t="str">
        <f>_xlfn.XLOOKUP(Base_CRM[[#This Row],[Cód do Cliente]],'[1]F &amp; O'!$A:$A,'[1]F &amp; O'!D:D,"Sem Finder",0,1)</f>
        <v>Sem Finder</v>
      </c>
      <c r="S571" s="11" t="str">
        <f>_xlfn.XLOOKUP(Base_CRM[[#This Row],[Cód do Cliente]],'[1]F &amp; O'!$A:$A,'[1]F &amp; O'!E:E,"Sem Canal",0,1)</f>
        <v>Sem Canal</v>
      </c>
      <c r="T571" s="11" t="str">
        <f t="shared" si="8"/>
        <v>Cliente XP</v>
      </c>
    </row>
    <row r="572" spans="1:20" x14ac:dyDescent="0.3">
      <c r="A572">
        <v>8174492</v>
      </c>
      <c r="B572" s="8" t="s">
        <v>1290</v>
      </c>
      <c r="C572" s="9" t="s">
        <v>21</v>
      </c>
      <c r="D572" s="8">
        <v>388605.01</v>
      </c>
      <c r="E572">
        <v>160000</v>
      </c>
      <c r="F572" t="s">
        <v>29</v>
      </c>
      <c r="G572" t="s">
        <v>71</v>
      </c>
      <c r="H572" s="10">
        <v>20341</v>
      </c>
      <c r="I572" s="10" t="s">
        <v>1291</v>
      </c>
      <c r="K572" t="s">
        <v>42</v>
      </c>
      <c r="L572" t="s">
        <v>1292</v>
      </c>
      <c r="M572" t="s">
        <v>77</v>
      </c>
      <c r="N572" s="11" t="str">
        <f>Base_CRM[[#This Row],[Cidade]]&amp;"/"&amp;Base_CRM[[#This Row],[Estado]]</f>
        <v>SANTA TERESA/</v>
      </c>
      <c r="O572" s="12">
        <f>IFERROR(IF(Base_CRM[[#This Row],[PL Tailor]]&gt;Base_CRM[[#This Row],[PL Declarado]],1,Base_CRM[[#This Row],[PL Tailor]]/Base_CRM[[#This Row],[PL Declarado]]),0)</f>
        <v>1</v>
      </c>
      <c r="P572" s="11" t="str">
        <f>IF(Base_CRM[[#This Row],[Estado Civil]]="","PESSOA JURÍDICA","PESSOA FÍSICA")</f>
        <v>PESSOA FÍSICA</v>
      </c>
      <c r="Q572" t="str">
        <f>_xlfn.XLOOKUP(Base_CRM[[#This Row],[Cód do Cliente]],'[1]F &amp; O'!$A:$A,'[1]F &amp; O'!$F:$F,_xlfn.XLOOKUP(Base_CRM[[#This Row],[Assessor]],[1]DePara!$A:$A,[1]DePara!$D:$D,"Outros",0,1),0,1)</f>
        <v>Leonardo Burle</v>
      </c>
      <c r="R572" s="11" t="str">
        <f>_xlfn.XLOOKUP(Base_CRM[[#This Row],[Cód do Cliente]],'[1]F &amp; O'!$A:$A,'[1]F &amp; O'!D:D,"Sem Finder",0,1)</f>
        <v>Sem Finder</v>
      </c>
      <c r="S572" s="11" t="str">
        <f>_xlfn.XLOOKUP(Base_CRM[[#This Row],[Cód do Cliente]],'[1]F &amp; O'!$A:$A,'[1]F &amp; O'!E:E,"Sem Canal",0,1)</f>
        <v>Sem Canal</v>
      </c>
      <c r="T572" s="11" t="str">
        <f t="shared" si="8"/>
        <v>Cliente XP</v>
      </c>
    </row>
    <row r="573" spans="1:20" x14ac:dyDescent="0.3">
      <c r="A573">
        <v>8180881</v>
      </c>
      <c r="B573" s="8" t="s">
        <v>1293</v>
      </c>
      <c r="C573" s="9" t="s">
        <v>21</v>
      </c>
      <c r="D573" s="8">
        <v>576667.09</v>
      </c>
      <c r="E573">
        <v>1000000</v>
      </c>
      <c r="F573" t="s">
        <v>22</v>
      </c>
      <c r="G573" t="s">
        <v>30</v>
      </c>
      <c r="H573" s="10">
        <v>28949</v>
      </c>
      <c r="I573" s="10" t="s">
        <v>689</v>
      </c>
      <c r="K573" t="s">
        <v>42</v>
      </c>
      <c r="L573" t="s">
        <v>1294</v>
      </c>
      <c r="N573" s="11" t="str">
        <f>Base_CRM[[#This Row],[Cidade]]&amp;"/"&amp;Base_CRM[[#This Row],[Estado]]</f>
        <v>MACAE/</v>
      </c>
      <c r="O573" s="12">
        <f>IFERROR(IF(Base_CRM[[#This Row],[PL Tailor]]&gt;Base_CRM[[#This Row],[PL Declarado]],1,Base_CRM[[#This Row],[PL Tailor]]/Base_CRM[[#This Row],[PL Declarado]]),0)</f>
        <v>0.57666708999999994</v>
      </c>
      <c r="P573" s="11" t="str">
        <f>IF(Base_CRM[[#This Row],[Estado Civil]]="","PESSOA JURÍDICA","PESSOA FÍSICA")</f>
        <v>PESSOA FÍSICA</v>
      </c>
      <c r="Q573" t="str">
        <f>_xlfn.XLOOKUP(Base_CRM[[#This Row],[Cód do Cliente]],'[1]F &amp; O'!$A:$A,'[1]F &amp; O'!$F:$F,_xlfn.XLOOKUP(Base_CRM[[#This Row],[Assessor]],[1]DePara!$A:$A,[1]DePara!$D:$D,"Outros",0,1),0,1)</f>
        <v>Leonardo Burle</v>
      </c>
      <c r="R573" s="11" t="str">
        <f>_xlfn.XLOOKUP(Base_CRM[[#This Row],[Cód do Cliente]],'[1]F &amp; O'!$A:$A,'[1]F &amp; O'!D:D,"Sem Finder",0,1)</f>
        <v>Sem Finder</v>
      </c>
      <c r="S573" s="11" t="str">
        <f>_xlfn.XLOOKUP(Base_CRM[[#This Row],[Cód do Cliente]],'[1]F &amp; O'!$A:$A,'[1]F &amp; O'!E:E,"Sem Canal",0,1)</f>
        <v>Sem Canal</v>
      </c>
      <c r="T573" s="11" t="str">
        <f t="shared" si="8"/>
        <v>Cliente XP</v>
      </c>
    </row>
    <row r="574" spans="1:20" x14ac:dyDescent="0.3">
      <c r="A574">
        <v>8214143</v>
      </c>
      <c r="B574" s="8" t="s">
        <v>1295</v>
      </c>
      <c r="C574" s="9" t="s">
        <v>21</v>
      </c>
      <c r="D574" s="8">
        <v>4331420.04</v>
      </c>
      <c r="E574">
        <v>11000000</v>
      </c>
      <c r="F574" t="s">
        <v>22</v>
      </c>
      <c r="G574" t="s">
        <v>67</v>
      </c>
      <c r="H574" s="10">
        <v>24962</v>
      </c>
      <c r="I574" s="10" t="s">
        <v>31</v>
      </c>
      <c r="K574" t="s">
        <v>42</v>
      </c>
      <c r="L574" t="s">
        <v>1296</v>
      </c>
      <c r="M574" t="s">
        <v>64</v>
      </c>
      <c r="N574" s="11" t="str">
        <f>Base_CRM[[#This Row],[Cidade]]&amp;"/"&amp;Base_CRM[[#This Row],[Estado]]</f>
        <v>SAO PAULO/</v>
      </c>
      <c r="O574" s="12">
        <f>IFERROR(IF(Base_CRM[[#This Row],[PL Tailor]]&gt;Base_CRM[[#This Row],[PL Declarado]],1,Base_CRM[[#This Row],[PL Tailor]]/Base_CRM[[#This Row],[PL Declarado]]),0)</f>
        <v>0.39376545818181818</v>
      </c>
      <c r="P574" s="11" t="str">
        <f>IF(Base_CRM[[#This Row],[Estado Civil]]="","PESSOA JURÍDICA","PESSOA FÍSICA")</f>
        <v>PESSOA FÍSICA</v>
      </c>
      <c r="Q574" t="str">
        <f>_xlfn.XLOOKUP(Base_CRM[[#This Row],[Cód do Cliente]],'[1]F &amp; O'!$A:$A,'[1]F &amp; O'!$F:$F,_xlfn.XLOOKUP(Base_CRM[[#This Row],[Assessor]],[1]DePara!$A:$A,[1]DePara!$D:$D,"Outros",0,1),0,1)</f>
        <v>Leonardo Burle</v>
      </c>
      <c r="R574" s="11" t="str">
        <f>_xlfn.XLOOKUP(Base_CRM[[#This Row],[Cód do Cliente]],'[1]F &amp; O'!$A:$A,'[1]F &amp; O'!D:D,"Sem Finder",0,1)</f>
        <v>Sem Finder</v>
      </c>
      <c r="S574" s="11" t="str">
        <f>_xlfn.XLOOKUP(Base_CRM[[#This Row],[Cód do Cliente]],'[1]F &amp; O'!$A:$A,'[1]F &amp; O'!E:E,"Sem Canal",0,1)</f>
        <v>Sem Canal</v>
      </c>
      <c r="T574" s="11" t="str">
        <f t="shared" si="8"/>
        <v>Cliente XP</v>
      </c>
    </row>
    <row r="575" spans="1:20" x14ac:dyDescent="0.3">
      <c r="A575">
        <v>8359831</v>
      </c>
      <c r="B575" s="8" t="s">
        <v>1297</v>
      </c>
      <c r="C575" s="9" t="s">
        <v>39</v>
      </c>
      <c r="D575" s="8">
        <v>15861.68</v>
      </c>
      <c r="E575">
        <v>15000</v>
      </c>
      <c r="F575" t="s">
        <v>40</v>
      </c>
      <c r="G575" t="s">
        <v>67</v>
      </c>
      <c r="H575" s="10">
        <v>31531</v>
      </c>
      <c r="I575" s="10" t="s">
        <v>285</v>
      </c>
      <c r="K575" t="s">
        <v>25</v>
      </c>
      <c r="L575" t="s">
        <v>1298</v>
      </c>
      <c r="N575" s="11" t="str">
        <f>Base_CRM[[#This Row],[Cidade]]&amp;"/"&amp;Base_CRM[[#This Row],[Estado]]</f>
        <v>SANTANA DE PARNAIBA/</v>
      </c>
      <c r="O575" s="12">
        <f>IFERROR(IF(Base_CRM[[#This Row],[PL Tailor]]&gt;Base_CRM[[#This Row],[PL Declarado]],1,Base_CRM[[#This Row],[PL Tailor]]/Base_CRM[[#This Row],[PL Declarado]]),0)</f>
        <v>1</v>
      </c>
      <c r="P575" s="11" t="str">
        <f>IF(Base_CRM[[#This Row],[Estado Civil]]="","PESSOA JURÍDICA","PESSOA FÍSICA")</f>
        <v>PESSOA FÍSICA</v>
      </c>
      <c r="Q575" t="str">
        <f>_xlfn.XLOOKUP(Base_CRM[[#This Row],[Cód do Cliente]],'[1]F &amp; O'!$A:$A,'[1]F &amp; O'!$F:$F,_xlfn.XLOOKUP(Base_CRM[[#This Row],[Assessor]],[1]DePara!$A:$A,[1]DePara!$D:$D,"Outros",0,1),0,1)</f>
        <v>Gestora</v>
      </c>
      <c r="R575" s="11" t="str">
        <f>_xlfn.XLOOKUP(Base_CRM[[#This Row],[Cód do Cliente]],'[1]F &amp; O'!$A:$A,'[1]F &amp; O'!D:D,"Sem Finder",0,1)</f>
        <v>Sem Finder</v>
      </c>
      <c r="S575" s="11" t="str">
        <f>_xlfn.XLOOKUP(Base_CRM[[#This Row],[Cód do Cliente]],'[1]F &amp; O'!$A:$A,'[1]F &amp; O'!E:E,"Sem Canal",0,1)</f>
        <v>Gestora</v>
      </c>
      <c r="T575" s="11" t="str">
        <f t="shared" si="8"/>
        <v>Cliente XP</v>
      </c>
    </row>
    <row r="576" spans="1:20" x14ac:dyDescent="0.3">
      <c r="A576">
        <v>8414611</v>
      </c>
      <c r="B576" s="8" t="s">
        <v>1299</v>
      </c>
      <c r="C576" s="9" t="s">
        <v>21</v>
      </c>
      <c r="D576" s="8">
        <v>60041.1</v>
      </c>
      <c r="E576">
        <v>38950.25</v>
      </c>
      <c r="F576" t="s">
        <v>29</v>
      </c>
      <c r="G576" t="s">
        <v>181</v>
      </c>
      <c r="H576" s="10">
        <v>32856</v>
      </c>
      <c r="I576" s="10" t="s">
        <v>566</v>
      </c>
      <c r="K576" t="s">
        <v>25</v>
      </c>
      <c r="L576" t="s">
        <v>1300</v>
      </c>
      <c r="N576" s="11" t="str">
        <f>Base_CRM[[#This Row],[Cidade]]&amp;"/"&amp;Base_CRM[[#This Row],[Estado]]</f>
        <v>VITORIA/</v>
      </c>
      <c r="O576" s="12">
        <f>IFERROR(IF(Base_CRM[[#This Row],[PL Tailor]]&gt;Base_CRM[[#This Row],[PL Declarado]],1,Base_CRM[[#This Row],[PL Tailor]]/Base_CRM[[#This Row],[PL Declarado]]),0)</f>
        <v>1</v>
      </c>
      <c r="P576" s="11" t="str">
        <f>IF(Base_CRM[[#This Row],[Estado Civil]]="","PESSOA JURÍDICA","PESSOA FÍSICA")</f>
        <v>PESSOA FÍSICA</v>
      </c>
      <c r="Q576" t="str">
        <f>_xlfn.XLOOKUP(Base_CRM[[#This Row],[Cód do Cliente]],'[1]F &amp; O'!$A:$A,'[1]F &amp; O'!$F:$F,_xlfn.XLOOKUP(Base_CRM[[#This Row],[Assessor]],[1]DePara!$A:$A,[1]DePara!$D:$D,"Outros",0,1),0,1)</f>
        <v>Leonardo Burle</v>
      </c>
      <c r="R576" s="11" t="str">
        <f>_xlfn.XLOOKUP(Base_CRM[[#This Row],[Cód do Cliente]],'[1]F &amp; O'!$A:$A,'[1]F &amp; O'!D:D,"Sem Finder",0,1)</f>
        <v>Sem Finder</v>
      </c>
      <c r="S576" s="11" t="str">
        <f>_xlfn.XLOOKUP(Base_CRM[[#This Row],[Cód do Cliente]],'[1]F &amp; O'!$A:$A,'[1]F &amp; O'!E:E,"Sem Canal",0,1)</f>
        <v>Sem Canal</v>
      </c>
      <c r="T576" s="11" t="str">
        <f t="shared" si="8"/>
        <v>Cliente XP</v>
      </c>
    </row>
    <row r="577" spans="1:20" x14ac:dyDescent="0.3">
      <c r="A577">
        <v>8475061</v>
      </c>
      <c r="B577" s="8" t="s">
        <v>1301</v>
      </c>
      <c r="C577" s="9" t="s">
        <v>74</v>
      </c>
      <c r="D577" s="8">
        <v>0</v>
      </c>
      <c r="E577">
        <v>400000</v>
      </c>
      <c r="F577" t="s">
        <v>29</v>
      </c>
      <c r="G577" t="s">
        <v>23</v>
      </c>
      <c r="H577" s="10">
        <v>21488</v>
      </c>
      <c r="I577" s="10" t="s">
        <v>84</v>
      </c>
      <c r="K577" t="s">
        <v>42</v>
      </c>
      <c r="L577" t="s">
        <v>1302</v>
      </c>
      <c r="N577" s="11" t="str">
        <f>Base_CRM[[#This Row],[Cidade]]&amp;"/"&amp;Base_CRM[[#This Row],[Estado]]</f>
        <v>NITEROI/</v>
      </c>
      <c r="O577" s="12">
        <f>IFERROR(IF(Base_CRM[[#This Row],[PL Tailor]]&gt;Base_CRM[[#This Row],[PL Declarado]],1,Base_CRM[[#This Row],[PL Tailor]]/Base_CRM[[#This Row],[PL Declarado]]),0)</f>
        <v>0</v>
      </c>
      <c r="P577" s="11" t="str">
        <f>IF(Base_CRM[[#This Row],[Estado Civil]]="","PESSOA JURÍDICA","PESSOA FÍSICA")</f>
        <v>PESSOA FÍSICA</v>
      </c>
      <c r="Q577" t="str">
        <f>_xlfn.XLOOKUP(Base_CRM[[#This Row],[Cód do Cliente]],'[1]F &amp; O'!$A:$A,'[1]F &amp; O'!$F:$F,_xlfn.XLOOKUP(Base_CRM[[#This Row],[Assessor]],[1]DePara!$A:$A,[1]DePara!$D:$D,"Outros",0,1),0,1)</f>
        <v>Thayane Freitas</v>
      </c>
      <c r="R577" s="11" t="str">
        <f>_xlfn.XLOOKUP(Base_CRM[[#This Row],[Cód do Cliente]],'[1]F &amp; O'!$A:$A,'[1]F &amp; O'!D:D,"Sem Finder",0,1)</f>
        <v>Sem Finder</v>
      </c>
      <c r="S577" s="11" t="str">
        <f>_xlfn.XLOOKUP(Base_CRM[[#This Row],[Cód do Cliente]],'[1]F &amp; O'!$A:$A,'[1]F &amp; O'!E:E,"Sem Canal",0,1)</f>
        <v>Sem Canal</v>
      </c>
      <c r="T577" s="11" t="str">
        <f t="shared" si="8"/>
        <v>Cliente XP</v>
      </c>
    </row>
    <row r="578" spans="1:20" x14ac:dyDescent="0.3">
      <c r="A578">
        <v>8566278</v>
      </c>
      <c r="B578" s="8" t="s">
        <v>1303</v>
      </c>
      <c r="C578" s="9" t="s">
        <v>48</v>
      </c>
      <c r="D578" s="8">
        <v>23225.119999999999</v>
      </c>
      <c r="E578">
        <v>1</v>
      </c>
      <c r="F578" t="s">
        <v>29</v>
      </c>
      <c r="G578" t="s">
        <v>67</v>
      </c>
      <c r="H578" s="10">
        <v>35816</v>
      </c>
      <c r="I578" s="10" t="s">
        <v>24</v>
      </c>
      <c r="K578" t="s">
        <v>25</v>
      </c>
      <c r="L578" t="s">
        <v>1304</v>
      </c>
      <c r="N578" s="11" t="str">
        <f>Base_CRM[[#This Row],[Cidade]]&amp;"/"&amp;Base_CRM[[#This Row],[Estado]]</f>
        <v>RIO DE JANEIRO/</v>
      </c>
      <c r="O578" s="12">
        <f>IFERROR(IF(Base_CRM[[#This Row],[PL Tailor]]&gt;Base_CRM[[#This Row],[PL Declarado]],1,Base_CRM[[#This Row],[PL Tailor]]/Base_CRM[[#This Row],[PL Declarado]]),0)</f>
        <v>1</v>
      </c>
      <c r="P578" s="11" t="str">
        <f>IF(Base_CRM[[#This Row],[Estado Civil]]="","PESSOA JURÍDICA","PESSOA FÍSICA")</f>
        <v>PESSOA FÍSICA</v>
      </c>
      <c r="Q578" t="str">
        <f>_xlfn.XLOOKUP(Base_CRM[[#This Row],[Cód do Cliente]],'[1]F &amp; O'!$A:$A,'[1]F &amp; O'!$F:$F,_xlfn.XLOOKUP(Base_CRM[[#This Row],[Assessor]],[1]DePara!$A:$A,[1]DePara!$D:$D,"Outros",0,1),0,1)</f>
        <v>Raphael Farias</v>
      </c>
      <c r="R578" s="11" t="str">
        <f>_xlfn.XLOOKUP(Base_CRM[[#This Row],[Cód do Cliente]],'[1]F &amp; O'!$A:$A,'[1]F &amp; O'!D:D,"Sem Finder",0,1)</f>
        <v>Sem Finder</v>
      </c>
      <c r="S578" s="11" t="str">
        <f>_xlfn.XLOOKUP(Base_CRM[[#This Row],[Cód do Cliente]],'[1]F &amp; O'!$A:$A,'[1]F &amp; O'!E:E,"Sem Canal",0,1)</f>
        <v>Sem Canal</v>
      </c>
      <c r="T578" s="11" t="str">
        <f t="shared" ref="T578:T641" si="9">"Cliente XP"</f>
        <v>Cliente XP</v>
      </c>
    </row>
    <row r="579" spans="1:20" x14ac:dyDescent="0.3">
      <c r="A579">
        <v>8595123</v>
      </c>
      <c r="B579" s="8" t="s">
        <v>1305</v>
      </c>
      <c r="C579" s="9" t="s">
        <v>48</v>
      </c>
      <c r="D579" s="8">
        <v>194684.25</v>
      </c>
      <c r="E579">
        <v>2500000</v>
      </c>
      <c r="F579" t="s">
        <v>22</v>
      </c>
      <c r="G579" t="s">
        <v>67</v>
      </c>
      <c r="H579" s="10">
        <v>21713</v>
      </c>
      <c r="I579" s="10" t="s">
        <v>31</v>
      </c>
      <c r="K579" t="s">
        <v>68</v>
      </c>
      <c r="L579" t="s">
        <v>1306</v>
      </c>
      <c r="M579" t="s">
        <v>27</v>
      </c>
      <c r="N579" s="11" t="str">
        <f>Base_CRM[[#This Row],[Cidade]]&amp;"/"&amp;Base_CRM[[#This Row],[Estado]]</f>
        <v>SAO PAULO/</v>
      </c>
      <c r="O579" s="12">
        <f>IFERROR(IF(Base_CRM[[#This Row],[PL Tailor]]&gt;Base_CRM[[#This Row],[PL Declarado]],1,Base_CRM[[#This Row],[PL Tailor]]/Base_CRM[[#This Row],[PL Declarado]]),0)</f>
        <v>7.7873700000000004E-2</v>
      </c>
      <c r="P579" s="11" t="str">
        <f>IF(Base_CRM[[#This Row],[Estado Civil]]="","PESSOA JURÍDICA","PESSOA FÍSICA")</f>
        <v>PESSOA FÍSICA</v>
      </c>
      <c r="Q579" t="str">
        <f>_xlfn.XLOOKUP(Base_CRM[[#This Row],[Cód do Cliente]],'[1]F &amp; O'!$A:$A,'[1]F &amp; O'!$F:$F,_xlfn.XLOOKUP(Base_CRM[[#This Row],[Assessor]],[1]DePara!$A:$A,[1]DePara!$D:$D,"Outros",0,1),0,1)</f>
        <v>Raphael Farias</v>
      </c>
      <c r="R579" s="11" t="str">
        <f>_xlfn.XLOOKUP(Base_CRM[[#This Row],[Cód do Cliente]],'[1]F &amp; O'!$A:$A,'[1]F &amp; O'!D:D,"Sem Finder",0,1)</f>
        <v>Sem Finder</v>
      </c>
      <c r="S579" s="11" t="str">
        <f>_xlfn.XLOOKUP(Base_CRM[[#This Row],[Cód do Cliente]],'[1]F &amp; O'!$A:$A,'[1]F &amp; O'!E:E,"Sem Canal",0,1)</f>
        <v>Sem Canal</v>
      </c>
      <c r="T579" s="11" t="str">
        <f t="shared" si="9"/>
        <v>Cliente XP</v>
      </c>
    </row>
    <row r="580" spans="1:20" x14ac:dyDescent="0.3">
      <c r="A580">
        <v>8712258</v>
      </c>
      <c r="B580" s="8" t="s">
        <v>1307</v>
      </c>
      <c r="C580" s="9" t="s">
        <v>39</v>
      </c>
      <c r="D580" s="8">
        <v>657594</v>
      </c>
      <c r="E580">
        <v>1018900</v>
      </c>
      <c r="F580" t="s">
        <v>40</v>
      </c>
      <c r="G580" t="s">
        <v>67</v>
      </c>
      <c r="H580" s="10">
        <v>32584</v>
      </c>
      <c r="I580" s="10" t="s">
        <v>31</v>
      </c>
      <c r="K580" t="s">
        <v>42</v>
      </c>
      <c r="L580" t="s">
        <v>1308</v>
      </c>
      <c r="N580" s="11" t="str">
        <f>Base_CRM[[#This Row],[Cidade]]&amp;"/"&amp;Base_CRM[[#This Row],[Estado]]</f>
        <v>SAO PAULO/</v>
      </c>
      <c r="O580" s="12">
        <f>IFERROR(IF(Base_CRM[[#This Row],[PL Tailor]]&gt;Base_CRM[[#This Row],[PL Declarado]],1,Base_CRM[[#This Row],[PL Tailor]]/Base_CRM[[#This Row],[PL Declarado]]),0)</f>
        <v>0.64539601531062907</v>
      </c>
      <c r="P580" s="11" t="str">
        <f>IF(Base_CRM[[#This Row],[Estado Civil]]="","PESSOA JURÍDICA","PESSOA FÍSICA")</f>
        <v>PESSOA FÍSICA</v>
      </c>
      <c r="Q580" t="str">
        <f>_xlfn.XLOOKUP(Base_CRM[[#This Row],[Cód do Cliente]],'[1]F &amp; O'!$A:$A,'[1]F &amp; O'!$F:$F,_xlfn.XLOOKUP(Base_CRM[[#This Row],[Assessor]],[1]DePara!$A:$A,[1]DePara!$D:$D,"Outros",0,1),0,1)</f>
        <v>Gestora</v>
      </c>
      <c r="R580" s="11" t="str">
        <f>_xlfn.XLOOKUP(Base_CRM[[#This Row],[Cód do Cliente]],'[1]F &amp; O'!$A:$A,'[1]F &amp; O'!D:D,"Sem Finder",0,1)</f>
        <v>Sem Finder</v>
      </c>
      <c r="S580" s="11" t="str">
        <f>_xlfn.XLOOKUP(Base_CRM[[#This Row],[Cód do Cliente]],'[1]F &amp; O'!$A:$A,'[1]F &amp; O'!E:E,"Sem Canal",0,1)</f>
        <v>Gestora</v>
      </c>
      <c r="T580" s="11" t="str">
        <f t="shared" si="9"/>
        <v>Cliente XP</v>
      </c>
    </row>
    <row r="581" spans="1:20" x14ac:dyDescent="0.3">
      <c r="A581">
        <v>8716625</v>
      </c>
      <c r="B581" s="8" t="s">
        <v>1309</v>
      </c>
      <c r="C581" s="9" t="s">
        <v>39</v>
      </c>
      <c r="D581" s="8">
        <v>31127.67</v>
      </c>
      <c r="E581">
        <v>1</v>
      </c>
      <c r="F581" t="s">
        <v>40</v>
      </c>
      <c r="G581" t="s">
        <v>207</v>
      </c>
      <c r="H581" s="10">
        <v>30186</v>
      </c>
      <c r="I581" s="10" t="s">
        <v>31</v>
      </c>
      <c r="K581" t="s">
        <v>25</v>
      </c>
      <c r="L581" t="s">
        <v>1310</v>
      </c>
      <c r="N581" s="11" t="str">
        <f>Base_CRM[[#This Row],[Cidade]]&amp;"/"&amp;Base_CRM[[#This Row],[Estado]]</f>
        <v>SAO PAULO/</v>
      </c>
      <c r="O581" s="12">
        <f>IFERROR(IF(Base_CRM[[#This Row],[PL Tailor]]&gt;Base_CRM[[#This Row],[PL Declarado]],1,Base_CRM[[#This Row],[PL Tailor]]/Base_CRM[[#This Row],[PL Declarado]]),0)</f>
        <v>1</v>
      </c>
      <c r="P581" s="11" t="str">
        <f>IF(Base_CRM[[#This Row],[Estado Civil]]="","PESSOA JURÍDICA","PESSOA FÍSICA")</f>
        <v>PESSOA FÍSICA</v>
      </c>
      <c r="Q581" t="str">
        <f>_xlfn.XLOOKUP(Base_CRM[[#This Row],[Cód do Cliente]],'[1]F &amp; O'!$A:$A,'[1]F &amp; O'!$F:$F,_xlfn.XLOOKUP(Base_CRM[[#This Row],[Assessor]],[1]DePara!$A:$A,[1]DePara!$D:$D,"Outros",0,1),0,1)</f>
        <v>Gestora</v>
      </c>
      <c r="R581" s="11" t="str">
        <f>_xlfn.XLOOKUP(Base_CRM[[#This Row],[Cód do Cliente]],'[1]F &amp; O'!$A:$A,'[1]F &amp; O'!D:D,"Sem Finder",0,1)</f>
        <v>Sem Finder</v>
      </c>
      <c r="S581" s="11" t="str">
        <f>_xlfn.XLOOKUP(Base_CRM[[#This Row],[Cód do Cliente]],'[1]F &amp; O'!$A:$A,'[1]F &amp; O'!E:E,"Sem Canal",0,1)</f>
        <v>Gestora</v>
      </c>
      <c r="T581" s="11" t="str">
        <f t="shared" si="9"/>
        <v>Cliente XP</v>
      </c>
    </row>
    <row r="582" spans="1:20" x14ac:dyDescent="0.3">
      <c r="A582">
        <v>8733878</v>
      </c>
      <c r="B582" s="8" t="s">
        <v>1311</v>
      </c>
      <c r="C582" s="9" t="s">
        <v>39</v>
      </c>
      <c r="D582" s="8">
        <v>20689.419999999998</v>
      </c>
      <c r="E582">
        <v>10000</v>
      </c>
      <c r="F582" t="s">
        <v>40</v>
      </c>
      <c r="G582" t="s">
        <v>23</v>
      </c>
      <c r="H582" s="10">
        <v>29100</v>
      </c>
      <c r="I582" s="10" t="s">
        <v>31</v>
      </c>
      <c r="K582" t="s">
        <v>42</v>
      </c>
      <c r="L582" t="s">
        <v>1312</v>
      </c>
      <c r="N582" s="11" t="str">
        <f>Base_CRM[[#This Row],[Cidade]]&amp;"/"&amp;Base_CRM[[#This Row],[Estado]]</f>
        <v>SAO PAULO/</v>
      </c>
      <c r="O582" s="12">
        <f>IFERROR(IF(Base_CRM[[#This Row],[PL Tailor]]&gt;Base_CRM[[#This Row],[PL Declarado]],1,Base_CRM[[#This Row],[PL Tailor]]/Base_CRM[[#This Row],[PL Declarado]]),0)</f>
        <v>1</v>
      </c>
      <c r="P582" s="11" t="str">
        <f>IF(Base_CRM[[#This Row],[Estado Civil]]="","PESSOA JURÍDICA","PESSOA FÍSICA")</f>
        <v>PESSOA FÍSICA</v>
      </c>
      <c r="Q582" t="str">
        <f>_xlfn.XLOOKUP(Base_CRM[[#This Row],[Cód do Cliente]],'[1]F &amp; O'!$A:$A,'[1]F &amp; O'!$F:$F,_xlfn.XLOOKUP(Base_CRM[[#This Row],[Assessor]],[1]DePara!$A:$A,[1]DePara!$D:$D,"Outros",0,1),0,1)</f>
        <v>Gestora</v>
      </c>
      <c r="R582" s="11" t="str">
        <f>_xlfn.XLOOKUP(Base_CRM[[#This Row],[Cód do Cliente]],'[1]F &amp; O'!$A:$A,'[1]F &amp; O'!D:D,"Sem Finder",0,1)</f>
        <v>Sem Finder</v>
      </c>
      <c r="S582" s="11" t="str">
        <f>_xlfn.XLOOKUP(Base_CRM[[#This Row],[Cód do Cliente]],'[1]F &amp; O'!$A:$A,'[1]F &amp; O'!E:E,"Sem Canal",0,1)</f>
        <v>Gestora</v>
      </c>
      <c r="T582" s="11" t="str">
        <f t="shared" si="9"/>
        <v>Cliente XP</v>
      </c>
    </row>
    <row r="583" spans="1:20" x14ac:dyDescent="0.3">
      <c r="A583">
        <v>8774797</v>
      </c>
      <c r="B583" s="8" t="s">
        <v>1313</v>
      </c>
      <c r="C583" s="9" t="s">
        <v>39</v>
      </c>
      <c r="D583" s="8">
        <v>20690.580000000002</v>
      </c>
      <c r="E583">
        <v>10000</v>
      </c>
      <c r="F583" t="s">
        <v>40</v>
      </c>
      <c r="G583" t="s">
        <v>87</v>
      </c>
      <c r="H583" s="10">
        <v>29517</v>
      </c>
      <c r="I583" s="10" t="s">
        <v>31</v>
      </c>
      <c r="K583" t="s">
        <v>250</v>
      </c>
      <c r="L583" t="s">
        <v>1314</v>
      </c>
      <c r="N583" s="11" t="str">
        <f>Base_CRM[[#This Row],[Cidade]]&amp;"/"&amp;Base_CRM[[#This Row],[Estado]]</f>
        <v>SAO PAULO/</v>
      </c>
      <c r="O583" s="12">
        <f>IFERROR(IF(Base_CRM[[#This Row],[PL Tailor]]&gt;Base_CRM[[#This Row],[PL Declarado]],1,Base_CRM[[#This Row],[PL Tailor]]/Base_CRM[[#This Row],[PL Declarado]]),0)</f>
        <v>1</v>
      </c>
      <c r="P583" s="11" t="str">
        <f>IF(Base_CRM[[#This Row],[Estado Civil]]="","PESSOA JURÍDICA","PESSOA FÍSICA")</f>
        <v>PESSOA FÍSICA</v>
      </c>
      <c r="Q583" t="str">
        <f>_xlfn.XLOOKUP(Base_CRM[[#This Row],[Cód do Cliente]],'[1]F &amp; O'!$A:$A,'[1]F &amp; O'!$F:$F,_xlfn.XLOOKUP(Base_CRM[[#This Row],[Assessor]],[1]DePara!$A:$A,[1]DePara!$D:$D,"Outros",0,1),0,1)</f>
        <v>Gestora</v>
      </c>
      <c r="R583" s="11" t="str">
        <f>_xlfn.XLOOKUP(Base_CRM[[#This Row],[Cód do Cliente]],'[1]F &amp; O'!$A:$A,'[1]F &amp; O'!D:D,"Sem Finder",0,1)</f>
        <v>Sem Finder</v>
      </c>
      <c r="S583" s="11" t="str">
        <f>_xlfn.XLOOKUP(Base_CRM[[#This Row],[Cód do Cliente]],'[1]F &amp; O'!$A:$A,'[1]F &amp; O'!E:E,"Sem Canal",0,1)</f>
        <v>Gestora</v>
      </c>
      <c r="T583" s="11" t="str">
        <f t="shared" si="9"/>
        <v>Cliente XP</v>
      </c>
    </row>
    <row r="584" spans="1:20" x14ac:dyDescent="0.3">
      <c r="A584">
        <v>8778430</v>
      </c>
      <c r="B584" s="8" t="s">
        <v>1315</v>
      </c>
      <c r="C584" s="9" t="s">
        <v>21</v>
      </c>
      <c r="D584" s="8">
        <v>217651.61</v>
      </c>
      <c r="E584">
        <v>1000000</v>
      </c>
      <c r="F584" t="s">
        <v>29</v>
      </c>
      <c r="G584" t="s">
        <v>87</v>
      </c>
      <c r="H584" s="10">
        <v>27355</v>
      </c>
      <c r="I584" s="10" t="s">
        <v>31</v>
      </c>
      <c r="K584" t="s">
        <v>25</v>
      </c>
      <c r="L584" t="s">
        <v>1316</v>
      </c>
      <c r="N584" s="11" t="str">
        <f>Base_CRM[[#This Row],[Cidade]]&amp;"/"&amp;Base_CRM[[#This Row],[Estado]]</f>
        <v>SAO PAULO/</v>
      </c>
      <c r="O584" s="12">
        <f>IFERROR(IF(Base_CRM[[#This Row],[PL Tailor]]&gt;Base_CRM[[#This Row],[PL Declarado]],1,Base_CRM[[#This Row],[PL Tailor]]/Base_CRM[[#This Row],[PL Declarado]]),0)</f>
        <v>0.21765161</v>
      </c>
      <c r="P584" s="11" t="str">
        <f>IF(Base_CRM[[#This Row],[Estado Civil]]="","PESSOA JURÍDICA","PESSOA FÍSICA")</f>
        <v>PESSOA FÍSICA</v>
      </c>
      <c r="Q584" t="str">
        <f>_xlfn.XLOOKUP(Base_CRM[[#This Row],[Cód do Cliente]],'[1]F &amp; O'!$A:$A,'[1]F &amp; O'!$F:$F,_xlfn.XLOOKUP(Base_CRM[[#This Row],[Assessor]],[1]DePara!$A:$A,[1]DePara!$D:$D,"Outros",0,1),0,1)</f>
        <v>Leonardo Burle</v>
      </c>
      <c r="R584" s="11" t="str">
        <f>_xlfn.XLOOKUP(Base_CRM[[#This Row],[Cód do Cliente]],'[1]F &amp; O'!$A:$A,'[1]F &amp; O'!D:D,"Sem Finder",0,1)</f>
        <v>Sem Finder</v>
      </c>
      <c r="S584" s="11" t="str">
        <f>_xlfn.XLOOKUP(Base_CRM[[#This Row],[Cód do Cliente]],'[1]F &amp; O'!$A:$A,'[1]F &amp; O'!E:E,"Sem Canal",0,1)</f>
        <v>Sem Canal</v>
      </c>
      <c r="T584" s="11" t="str">
        <f t="shared" si="9"/>
        <v>Cliente XP</v>
      </c>
    </row>
    <row r="585" spans="1:20" x14ac:dyDescent="0.3">
      <c r="A585">
        <v>8779161</v>
      </c>
      <c r="B585" s="8" t="s">
        <v>1317</v>
      </c>
      <c r="C585" s="9" t="s">
        <v>66</v>
      </c>
      <c r="D585" s="8">
        <v>48.15</v>
      </c>
      <c r="E585">
        <v>200000</v>
      </c>
      <c r="F585" t="s">
        <v>29</v>
      </c>
      <c r="G585" t="s">
        <v>71</v>
      </c>
      <c r="H585" s="10">
        <v>32167</v>
      </c>
      <c r="I585" s="10" t="s">
        <v>1318</v>
      </c>
      <c r="K585" t="s">
        <v>42</v>
      </c>
      <c r="L585" t="s">
        <v>1319</v>
      </c>
      <c r="N585" s="11" t="str">
        <f>Base_CRM[[#This Row],[Cidade]]&amp;"/"&amp;Base_CRM[[#This Row],[Estado]]</f>
        <v>COTIA/</v>
      </c>
      <c r="O585" s="12">
        <f>IFERROR(IF(Base_CRM[[#This Row],[PL Tailor]]&gt;Base_CRM[[#This Row],[PL Declarado]],1,Base_CRM[[#This Row],[PL Tailor]]/Base_CRM[[#This Row],[PL Declarado]]),0)</f>
        <v>2.4075E-4</v>
      </c>
      <c r="P585" s="11" t="str">
        <f>IF(Base_CRM[[#This Row],[Estado Civil]]="","PESSOA JURÍDICA","PESSOA FÍSICA")</f>
        <v>PESSOA FÍSICA</v>
      </c>
      <c r="Q585" t="str">
        <f>_xlfn.XLOOKUP(Base_CRM[[#This Row],[Cód do Cliente]],'[1]F &amp; O'!$A:$A,'[1]F &amp; O'!$F:$F,_xlfn.XLOOKUP(Base_CRM[[#This Row],[Assessor]],[1]DePara!$A:$A,[1]DePara!$D:$D,"Outros",0,1),0,1)</f>
        <v>Caroline Vlavianos</v>
      </c>
      <c r="R585" s="11" t="str">
        <f>_xlfn.XLOOKUP(Base_CRM[[#This Row],[Cód do Cliente]],'[1]F &amp; O'!$A:$A,'[1]F &amp; O'!D:D,"Sem Finder",0,1)</f>
        <v>Sem Finder</v>
      </c>
      <c r="S585" s="11" t="str">
        <f>_xlfn.XLOOKUP(Base_CRM[[#This Row],[Cód do Cliente]],'[1]F &amp; O'!$A:$A,'[1]F &amp; O'!E:E,"Sem Canal",0,1)</f>
        <v>Sem Canal</v>
      </c>
      <c r="T585" s="11" t="str">
        <f t="shared" si="9"/>
        <v>Cliente XP</v>
      </c>
    </row>
    <row r="586" spans="1:20" x14ac:dyDescent="0.3">
      <c r="A586">
        <v>8862629</v>
      </c>
      <c r="B586" s="8" t="s">
        <v>1320</v>
      </c>
      <c r="C586" s="9" t="s">
        <v>74</v>
      </c>
      <c r="D586" s="8">
        <v>0</v>
      </c>
      <c r="E586">
        <v>100</v>
      </c>
      <c r="F586" t="s">
        <v>92</v>
      </c>
      <c r="G586" t="s">
        <v>1321</v>
      </c>
      <c r="H586" s="10">
        <v>31603</v>
      </c>
      <c r="I586" s="10" t="s">
        <v>1322</v>
      </c>
      <c r="K586" t="s">
        <v>68</v>
      </c>
      <c r="L586" t="s">
        <v>1323</v>
      </c>
      <c r="N586" s="11" t="str">
        <f>Base_CRM[[#This Row],[Cidade]]&amp;"/"&amp;Base_CRM[[#This Row],[Estado]]</f>
        <v>VALINHOS/</v>
      </c>
      <c r="O586" s="12">
        <f>IFERROR(IF(Base_CRM[[#This Row],[PL Tailor]]&gt;Base_CRM[[#This Row],[PL Declarado]],1,Base_CRM[[#This Row],[PL Tailor]]/Base_CRM[[#This Row],[PL Declarado]]),0)</f>
        <v>0</v>
      </c>
      <c r="P586" s="11" t="str">
        <f>IF(Base_CRM[[#This Row],[Estado Civil]]="","PESSOA JURÍDICA","PESSOA FÍSICA")</f>
        <v>PESSOA FÍSICA</v>
      </c>
      <c r="Q586" t="str">
        <f>_xlfn.XLOOKUP(Base_CRM[[#This Row],[Cód do Cliente]],'[1]F &amp; O'!$A:$A,'[1]F &amp; O'!$F:$F,_xlfn.XLOOKUP(Base_CRM[[#This Row],[Assessor]],[1]DePara!$A:$A,[1]DePara!$D:$D,"Outros",0,1),0,1)</f>
        <v>Thayane Freitas</v>
      </c>
      <c r="R586" s="11" t="str">
        <f>_xlfn.XLOOKUP(Base_CRM[[#This Row],[Cód do Cliente]],'[1]F &amp; O'!$A:$A,'[1]F &amp; O'!D:D,"Sem Finder",0,1)</f>
        <v>Sem Finder</v>
      </c>
      <c r="S586" s="11" t="str">
        <f>_xlfn.XLOOKUP(Base_CRM[[#This Row],[Cód do Cliente]],'[1]F &amp; O'!$A:$A,'[1]F &amp; O'!E:E,"Sem Canal",0,1)</f>
        <v>Sem Canal</v>
      </c>
      <c r="T586" s="11" t="str">
        <f t="shared" si="9"/>
        <v>Cliente XP</v>
      </c>
    </row>
    <row r="587" spans="1:20" x14ac:dyDescent="0.3">
      <c r="A587">
        <v>8870732</v>
      </c>
      <c r="B587" s="8" t="s">
        <v>1324</v>
      </c>
      <c r="C587" s="9" t="s">
        <v>74</v>
      </c>
      <c r="D587" s="8">
        <v>41496.94</v>
      </c>
      <c r="E587">
        <v>50000</v>
      </c>
      <c r="F587" t="s">
        <v>22</v>
      </c>
      <c r="G587" t="s">
        <v>127</v>
      </c>
      <c r="H587" s="10">
        <v>17984</v>
      </c>
      <c r="I587" s="10" t="s">
        <v>24</v>
      </c>
      <c r="K587" t="s">
        <v>250</v>
      </c>
      <c r="L587" t="s">
        <v>1325</v>
      </c>
      <c r="N587" s="11" t="str">
        <f>Base_CRM[[#This Row],[Cidade]]&amp;"/"&amp;Base_CRM[[#This Row],[Estado]]</f>
        <v>RIO DE JANEIRO/</v>
      </c>
      <c r="O587" s="12">
        <f>IFERROR(IF(Base_CRM[[#This Row],[PL Tailor]]&gt;Base_CRM[[#This Row],[PL Declarado]],1,Base_CRM[[#This Row],[PL Tailor]]/Base_CRM[[#This Row],[PL Declarado]]),0)</f>
        <v>0.82993880000000009</v>
      </c>
      <c r="P587" s="11" t="str">
        <f>IF(Base_CRM[[#This Row],[Estado Civil]]="","PESSOA JURÍDICA","PESSOA FÍSICA")</f>
        <v>PESSOA FÍSICA</v>
      </c>
      <c r="Q587" t="str">
        <f>_xlfn.XLOOKUP(Base_CRM[[#This Row],[Cód do Cliente]],'[1]F &amp; O'!$A:$A,'[1]F &amp; O'!$F:$F,_xlfn.XLOOKUP(Base_CRM[[#This Row],[Assessor]],[1]DePara!$A:$A,[1]DePara!$D:$D,"Outros",0,1),0,1)</f>
        <v>Thayane Freitas</v>
      </c>
      <c r="R587" s="11" t="str">
        <f>_xlfn.XLOOKUP(Base_CRM[[#This Row],[Cód do Cliente]],'[1]F &amp; O'!$A:$A,'[1]F &amp; O'!D:D,"Sem Finder",0,1)</f>
        <v>Sem Finder</v>
      </c>
      <c r="S587" s="11" t="str">
        <f>_xlfn.XLOOKUP(Base_CRM[[#This Row],[Cód do Cliente]],'[1]F &amp; O'!$A:$A,'[1]F &amp; O'!E:E,"Sem Canal",0,1)</f>
        <v>Sem Canal</v>
      </c>
      <c r="T587" s="11" t="str">
        <f t="shared" si="9"/>
        <v>Cliente XP</v>
      </c>
    </row>
    <row r="588" spans="1:20" x14ac:dyDescent="0.3">
      <c r="A588">
        <v>8874864</v>
      </c>
      <c r="B588" s="8" t="s">
        <v>1326</v>
      </c>
      <c r="C588" s="9" t="s">
        <v>74</v>
      </c>
      <c r="D588" s="8">
        <v>0</v>
      </c>
      <c r="E588">
        <v>0</v>
      </c>
      <c r="F588" t="s">
        <v>29</v>
      </c>
      <c r="G588" t="s">
        <v>715</v>
      </c>
      <c r="H588" s="10">
        <v>30412</v>
      </c>
      <c r="I588" s="10" t="s">
        <v>282</v>
      </c>
      <c r="K588" t="s">
        <v>42</v>
      </c>
      <c r="L588" t="s">
        <v>1327</v>
      </c>
      <c r="N588" s="11" t="str">
        <f>Base_CRM[[#This Row],[Cidade]]&amp;"/"&amp;Base_CRM[[#This Row],[Estado]]</f>
        <v>SANTOS/</v>
      </c>
      <c r="O588" s="12">
        <f>IFERROR(IF(Base_CRM[[#This Row],[PL Tailor]]&gt;Base_CRM[[#This Row],[PL Declarado]],1,Base_CRM[[#This Row],[PL Tailor]]/Base_CRM[[#This Row],[PL Declarado]]),0)</f>
        <v>0</v>
      </c>
      <c r="P588" s="11" t="str">
        <f>IF(Base_CRM[[#This Row],[Estado Civil]]="","PESSOA JURÍDICA","PESSOA FÍSICA")</f>
        <v>PESSOA FÍSICA</v>
      </c>
      <c r="Q588" t="str">
        <f>_xlfn.XLOOKUP(Base_CRM[[#This Row],[Cód do Cliente]],'[1]F &amp; O'!$A:$A,'[1]F &amp; O'!$F:$F,_xlfn.XLOOKUP(Base_CRM[[#This Row],[Assessor]],[1]DePara!$A:$A,[1]DePara!$D:$D,"Outros",0,1),0,1)</f>
        <v>Thayane Freitas</v>
      </c>
      <c r="R588" s="11" t="str">
        <f>_xlfn.XLOOKUP(Base_CRM[[#This Row],[Cód do Cliente]],'[1]F &amp; O'!$A:$A,'[1]F &amp; O'!D:D,"Sem Finder",0,1)</f>
        <v>Sem Finder</v>
      </c>
      <c r="S588" s="11" t="str">
        <f>_xlfn.XLOOKUP(Base_CRM[[#This Row],[Cód do Cliente]],'[1]F &amp; O'!$A:$A,'[1]F &amp; O'!E:E,"Sem Canal",0,1)</f>
        <v>Sem Canal</v>
      </c>
      <c r="T588" s="11" t="str">
        <f t="shared" si="9"/>
        <v>Cliente XP</v>
      </c>
    </row>
    <row r="589" spans="1:20" x14ac:dyDescent="0.3">
      <c r="A589">
        <v>8924873</v>
      </c>
      <c r="B589" s="8" t="s">
        <v>1328</v>
      </c>
      <c r="C589" s="9" t="s">
        <v>39</v>
      </c>
      <c r="D589" s="8">
        <v>0</v>
      </c>
      <c r="E589">
        <v>100</v>
      </c>
      <c r="F589" t="s">
        <v>40</v>
      </c>
      <c r="G589" t="s">
        <v>67</v>
      </c>
      <c r="H589" s="10">
        <v>28952</v>
      </c>
      <c r="I589" s="10" t="s">
        <v>1329</v>
      </c>
      <c r="K589" t="s">
        <v>25</v>
      </c>
      <c r="L589" t="s">
        <v>1330</v>
      </c>
      <c r="N589" s="11" t="str">
        <f>Base_CRM[[#This Row],[Cidade]]&amp;"/"&amp;Base_CRM[[#This Row],[Estado]]</f>
        <v>NOVA ODESSA/</v>
      </c>
      <c r="O589" s="12">
        <f>IFERROR(IF(Base_CRM[[#This Row],[PL Tailor]]&gt;Base_CRM[[#This Row],[PL Declarado]],1,Base_CRM[[#This Row],[PL Tailor]]/Base_CRM[[#This Row],[PL Declarado]]),0)</f>
        <v>0</v>
      </c>
      <c r="P589" s="11" t="str">
        <f>IF(Base_CRM[[#This Row],[Estado Civil]]="","PESSOA JURÍDICA","PESSOA FÍSICA")</f>
        <v>PESSOA FÍSICA</v>
      </c>
      <c r="Q589" t="str">
        <f>_xlfn.XLOOKUP(Base_CRM[[#This Row],[Cód do Cliente]],'[1]F &amp; O'!$A:$A,'[1]F &amp; O'!$F:$F,_xlfn.XLOOKUP(Base_CRM[[#This Row],[Assessor]],[1]DePara!$A:$A,[1]DePara!$D:$D,"Outros",0,1),0,1)</f>
        <v>Gestora</v>
      </c>
      <c r="R589" s="11" t="str">
        <f>_xlfn.XLOOKUP(Base_CRM[[#This Row],[Cód do Cliente]],'[1]F &amp; O'!$A:$A,'[1]F &amp; O'!D:D,"Sem Finder",0,1)</f>
        <v>Sem Finder</v>
      </c>
      <c r="S589" s="11" t="str">
        <f>_xlfn.XLOOKUP(Base_CRM[[#This Row],[Cód do Cliente]],'[1]F &amp; O'!$A:$A,'[1]F &amp; O'!E:E,"Sem Canal",0,1)</f>
        <v>Gestora</v>
      </c>
      <c r="T589" s="11" t="str">
        <f t="shared" si="9"/>
        <v>Cliente XP</v>
      </c>
    </row>
    <row r="590" spans="1:20" x14ac:dyDescent="0.3">
      <c r="A590">
        <v>9063168</v>
      </c>
      <c r="B590" s="8" t="s">
        <v>1265</v>
      </c>
      <c r="C590" s="9" t="s">
        <v>39</v>
      </c>
      <c r="D590" s="8">
        <v>176119.55</v>
      </c>
      <c r="E590">
        <v>288000</v>
      </c>
      <c r="F590" t="s">
        <v>29</v>
      </c>
      <c r="G590" t="s">
        <v>45</v>
      </c>
      <c r="H590" s="10">
        <v>38475</v>
      </c>
      <c r="I590" s="10" t="s">
        <v>31</v>
      </c>
      <c r="K590" t="s">
        <v>25</v>
      </c>
      <c r="L590" t="s">
        <v>1266</v>
      </c>
      <c r="N590" s="11" t="str">
        <f>Base_CRM[[#This Row],[Cidade]]&amp;"/"&amp;Base_CRM[[#This Row],[Estado]]</f>
        <v>SAO PAULO/</v>
      </c>
      <c r="O590" s="12">
        <f>IFERROR(IF(Base_CRM[[#This Row],[PL Tailor]]&gt;Base_CRM[[#This Row],[PL Declarado]],1,Base_CRM[[#This Row],[PL Tailor]]/Base_CRM[[#This Row],[PL Declarado]]),0)</f>
        <v>0.61152621527777773</v>
      </c>
      <c r="P590" s="11" t="str">
        <f>IF(Base_CRM[[#This Row],[Estado Civil]]="","PESSOA JURÍDICA","PESSOA FÍSICA")</f>
        <v>PESSOA FÍSICA</v>
      </c>
      <c r="Q590" t="str">
        <f>_xlfn.XLOOKUP(Base_CRM[[#This Row],[Cód do Cliente]],'[1]F &amp; O'!$A:$A,'[1]F &amp; O'!$F:$F,_xlfn.XLOOKUP(Base_CRM[[#This Row],[Assessor]],[1]DePara!$A:$A,[1]DePara!$D:$D,"Outros",0,1),0,1)</f>
        <v>Gestora</v>
      </c>
      <c r="R590" s="11" t="str">
        <f>_xlfn.XLOOKUP(Base_CRM[[#This Row],[Cód do Cliente]],'[1]F &amp; O'!$A:$A,'[1]F &amp; O'!D:D,"Sem Finder",0,1)</f>
        <v>Sem Finder</v>
      </c>
      <c r="S590" s="11" t="str">
        <f>_xlfn.XLOOKUP(Base_CRM[[#This Row],[Cód do Cliente]],'[1]F &amp; O'!$A:$A,'[1]F &amp; O'!E:E,"Sem Canal",0,1)</f>
        <v>Gestora</v>
      </c>
      <c r="T590" s="11" t="str">
        <f t="shared" si="9"/>
        <v>Cliente XP</v>
      </c>
    </row>
    <row r="591" spans="1:20" x14ac:dyDescent="0.3">
      <c r="A591">
        <v>9082689</v>
      </c>
      <c r="B591" s="8" t="s">
        <v>1161</v>
      </c>
      <c r="C591" s="9" t="s">
        <v>39</v>
      </c>
      <c r="D591" s="8">
        <v>0</v>
      </c>
      <c r="E591">
        <v>68468.28</v>
      </c>
      <c r="F591" t="s">
        <v>40</v>
      </c>
      <c r="G591" t="s">
        <v>87</v>
      </c>
      <c r="H591" s="10">
        <v>24675</v>
      </c>
      <c r="I591" s="10" t="s">
        <v>31</v>
      </c>
      <c r="K591" t="s">
        <v>68</v>
      </c>
      <c r="L591" t="s">
        <v>1162</v>
      </c>
      <c r="N591" s="11" t="str">
        <f>Base_CRM[[#This Row],[Cidade]]&amp;"/"&amp;Base_CRM[[#This Row],[Estado]]</f>
        <v>SAO PAULO/</v>
      </c>
      <c r="O591" s="12">
        <f>IFERROR(IF(Base_CRM[[#This Row],[PL Tailor]]&gt;Base_CRM[[#This Row],[PL Declarado]],1,Base_CRM[[#This Row],[PL Tailor]]/Base_CRM[[#This Row],[PL Declarado]]),0)</f>
        <v>0</v>
      </c>
      <c r="P591" s="11" t="str">
        <f>IF(Base_CRM[[#This Row],[Estado Civil]]="","PESSOA JURÍDICA","PESSOA FÍSICA")</f>
        <v>PESSOA FÍSICA</v>
      </c>
      <c r="Q591" t="str">
        <f>_xlfn.XLOOKUP(Base_CRM[[#This Row],[Cód do Cliente]],'[1]F &amp; O'!$A:$A,'[1]F &amp; O'!$F:$F,_xlfn.XLOOKUP(Base_CRM[[#This Row],[Assessor]],[1]DePara!$A:$A,[1]DePara!$D:$D,"Outros",0,1),0,1)</f>
        <v>Gestora</v>
      </c>
      <c r="R591" s="11" t="str">
        <f>_xlfn.XLOOKUP(Base_CRM[[#This Row],[Cód do Cliente]],'[1]F &amp; O'!$A:$A,'[1]F &amp; O'!D:D,"Sem Finder",0,1)</f>
        <v>Sem Finder</v>
      </c>
      <c r="S591" s="11" t="str">
        <f>_xlfn.XLOOKUP(Base_CRM[[#This Row],[Cód do Cliente]],'[1]F &amp; O'!$A:$A,'[1]F &amp; O'!E:E,"Sem Canal",0,1)</f>
        <v>Gestora</v>
      </c>
      <c r="T591" s="11" t="str">
        <f t="shared" si="9"/>
        <v>Cliente XP</v>
      </c>
    </row>
    <row r="592" spans="1:20" x14ac:dyDescent="0.3">
      <c r="A592">
        <v>9142027</v>
      </c>
      <c r="B592" s="8" t="s">
        <v>1331</v>
      </c>
      <c r="C592" s="9" t="s">
        <v>34</v>
      </c>
      <c r="D592" s="8">
        <v>423471.11</v>
      </c>
      <c r="E592">
        <v>2000000</v>
      </c>
      <c r="F592" t="s">
        <v>22</v>
      </c>
      <c r="G592" t="s">
        <v>67</v>
      </c>
      <c r="H592" s="10">
        <v>31856</v>
      </c>
      <c r="I592" s="10" t="s">
        <v>819</v>
      </c>
      <c r="K592" t="s">
        <v>68</v>
      </c>
      <c r="L592" t="s">
        <v>1332</v>
      </c>
      <c r="N592" s="11" t="str">
        <f>Base_CRM[[#This Row],[Cidade]]&amp;"/"&amp;Base_CRM[[#This Row],[Estado]]</f>
        <v>Santana de Parnaíba/</v>
      </c>
      <c r="O592" s="12">
        <f>IFERROR(IF(Base_CRM[[#This Row],[PL Tailor]]&gt;Base_CRM[[#This Row],[PL Declarado]],1,Base_CRM[[#This Row],[PL Tailor]]/Base_CRM[[#This Row],[PL Declarado]]),0)</f>
        <v>0.21173555499999999</v>
      </c>
      <c r="P592" s="11" t="str">
        <f>IF(Base_CRM[[#This Row],[Estado Civil]]="","PESSOA JURÍDICA","PESSOA FÍSICA")</f>
        <v>PESSOA FÍSICA</v>
      </c>
      <c r="Q592" t="str">
        <f>_xlfn.XLOOKUP(Base_CRM[[#This Row],[Cód do Cliente]],'[1]F &amp; O'!$A:$A,'[1]F &amp; O'!$F:$F,_xlfn.XLOOKUP(Base_CRM[[#This Row],[Assessor]],[1]DePara!$A:$A,[1]DePara!$D:$D,"Outros",0,1),0,1)</f>
        <v>Adonias Noronha</v>
      </c>
      <c r="R592" s="11" t="str">
        <f>_xlfn.XLOOKUP(Base_CRM[[#This Row],[Cód do Cliente]],'[1]F &amp; O'!$A:$A,'[1]F &amp; O'!D:D,"Sem Finder",0,1)</f>
        <v>José De Marchi</v>
      </c>
      <c r="S592" s="11" t="str">
        <f>_xlfn.XLOOKUP(Base_CRM[[#This Row],[Cód do Cliente]],'[1]F &amp; O'!$A:$A,'[1]F &amp; O'!E:E,"Sem Canal",0,1)</f>
        <v>Sem Canal</v>
      </c>
      <c r="T592" s="11" t="str">
        <f t="shared" si="9"/>
        <v>Cliente XP</v>
      </c>
    </row>
    <row r="593" spans="1:20" x14ac:dyDescent="0.3">
      <c r="A593">
        <v>9255718</v>
      </c>
      <c r="B593" s="8" t="s">
        <v>1333</v>
      </c>
      <c r="C593" s="9" t="s">
        <v>103</v>
      </c>
      <c r="D593" s="8">
        <v>1834870.45</v>
      </c>
      <c r="E593">
        <v>2500000</v>
      </c>
      <c r="F593" t="s">
        <v>22</v>
      </c>
      <c r="G593" t="s">
        <v>30</v>
      </c>
      <c r="H593" s="10">
        <v>30721</v>
      </c>
      <c r="I593" s="10" t="s">
        <v>31</v>
      </c>
      <c r="K593" t="s">
        <v>25</v>
      </c>
      <c r="L593" t="s">
        <v>1334</v>
      </c>
      <c r="M593" t="s">
        <v>64</v>
      </c>
      <c r="N593" s="11" t="str">
        <f>Base_CRM[[#This Row],[Cidade]]&amp;"/"&amp;Base_CRM[[#This Row],[Estado]]</f>
        <v>SAO PAULO/</v>
      </c>
      <c r="O593" s="12">
        <f>IFERROR(IF(Base_CRM[[#This Row],[PL Tailor]]&gt;Base_CRM[[#This Row],[PL Declarado]],1,Base_CRM[[#This Row],[PL Tailor]]/Base_CRM[[#This Row],[PL Declarado]]),0)</f>
        <v>0.73394817999999995</v>
      </c>
      <c r="P593" s="11" t="str">
        <f>IF(Base_CRM[[#This Row],[Estado Civil]]="","PESSOA JURÍDICA","PESSOA FÍSICA")</f>
        <v>PESSOA FÍSICA</v>
      </c>
      <c r="Q593" t="str">
        <f>_xlfn.XLOOKUP(Base_CRM[[#This Row],[Cód do Cliente]],'[1]F &amp; O'!$A:$A,'[1]F &amp; O'!$F:$F,_xlfn.XLOOKUP(Base_CRM[[#This Row],[Assessor]],[1]DePara!$A:$A,[1]DePara!$D:$D,"Outros",0,1),0,1)</f>
        <v>Raphael Pereira</v>
      </c>
      <c r="R593" s="11" t="str">
        <f>_xlfn.XLOOKUP(Base_CRM[[#This Row],[Cód do Cliente]],'[1]F &amp; O'!$A:$A,'[1]F &amp; O'!D:D,"Sem Finder",0,1)</f>
        <v>Sem Finder</v>
      </c>
      <c r="S593" s="11" t="str">
        <f>_xlfn.XLOOKUP(Base_CRM[[#This Row],[Cód do Cliente]],'[1]F &amp; O'!$A:$A,'[1]F &amp; O'!E:E,"Sem Canal",0,1)</f>
        <v>Sem Canal</v>
      </c>
      <c r="T593" s="11" t="str">
        <f t="shared" si="9"/>
        <v>Cliente XP</v>
      </c>
    </row>
    <row r="594" spans="1:20" x14ac:dyDescent="0.3">
      <c r="A594">
        <v>9280970</v>
      </c>
      <c r="B594" s="8" t="s">
        <v>1335</v>
      </c>
      <c r="C594" s="9" t="s">
        <v>74</v>
      </c>
      <c r="D594" s="8">
        <v>50697.65</v>
      </c>
      <c r="E594">
        <v>126000</v>
      </c>
      <c r="F594" t="s">
        <v>92</v>
      </c>
      <c r="G594" t="s">
        <v>491</v>
      </c>
      <c r="H594" s="10">
        <v>26414</v>
      </c>
      <c r="I594" s="10" t="s">
        <v>24</v>
      </c>
      <c r="K594" t="s">
        <v>25</v>
      </c>
      <c r="L594" t="s">
        <v>1336</v>
      </c>
      <c r="N594" s="11" t="str">
        <f>Base_CRM[[#This Row],[Cidade]]&amp;"/"&amp;Base_CRM[[#This Row],[Estado]]</f>
        <v>RIO DE JANEIRO/</v>
      </c>
      <c r="O594" s="12">
        <f>IFERROR(IF(Base_CRM[[#This Row],[PL Tailor]]&gt;Base_CRM[[#This Row],[PL Declarado]],1,Base_CRM[[#This Row],[PL Tailor]]/Base_CRM[[#This Row],[PL Declarado]]),0)</f>
        <v>0.40236230158730157</v>
      </c>
      <c r="P594" s="11" t="str">
        <f>IF(Base_CRM[[#This Row],[Estado Civil]]="","PESSOA JURÍDICA","PESSOA FÍSICA")</f>
        <v>PESSOA FÍSICA</v>
      </c>
      <c r="Q594" t="str">
        <f>_xlfn.XLOOKUP(Base_CRM[[#This Row],[Cód do Cliente]],'[1]F &amp; O'!$A:$A,'[1]F &amp; O'!$F:$F,_xlfn.XLOOKUP(Base_CRM[[#This Row],[Assessor]],[1]DePara!$A:$A,[1]DePara!$D:$D,"Outros",0,1),0,1)</f>
        <v>Thayane Freitas</v>
      </c>
      <c r="R594" s="11" t="str">
        <f>_xlfn.XLOOKUP(Base_CRM[[#This Row],[Cód do Cliente]],'[1]F &amp; O'!$A:$A,'[1]F &amp; O'!D:D,"Sem Finder",0,1)</f>
        <v>Sem Finder</v>
      </c>
      <c r="S594" s="11" t="str">
        <f>_xlfn.XLOOKUP(Base_CRM[[#This Row],[Cód do Cliente]],'[1]F &amp; O'!$A:$A,'[1]F &amp; O'!E:E,"Sem Canal",0,1)</f>
        <v>Sem Canal</v>
      </c>
      <c r="T594" s="11" t="str">
        <f t="shared" si="9"/>
        <v>Cliente XP</v>
      </c>
    </row>
    <row r="595" spans="1:20" x14ac:dyDescent="0.3">
      <c r="A595">
        <v>93058</v>
      </c>
      <c r="B595" s="8" t="s">
        <v>1337</v>
      </c>
      <c r="C595" s="9" t="s">
        <v>74</v>
      </c>
      <c r="D595" s="8">
        <v>0</v>
      </c>
      <c r="E595">
        <v>5000</v>
      </c>
      <c r="F595" t="s">
        <v>40</v>
      </c>
      <c r="G595" t="s">
        <v>45</v>
      </c>
      <c r="H595" s="10">
        <v>32948</v>
      </c>
      <c r="I595" s="10" t="s">
        <v>1139</v>
      </c>
      <c r="K595" t="s">
        <v>25</v>
      </c>
      <c r="L595" t="s">
        <v>1338</v>
      </c>
      <c r="M595" t="s">
        <v>355</v>
      </c>
      <c r="N595" s="11" t="str">
        <f>Base_CRM[[#This Row],[Cidade]]&amp;"/"&amp;Base_CRM[[#This Row],[Estado]]</f>
        <v>BALNEARIO CAMBORIU/</v>
      </c>
      <c r="O595" s="12">
        <f>IFERROR(IF(Base_CRM[[#This Row],[PL Tailor]]&gt;Base_CRM[[#This Row],[PL Declarado]],1,Base_CRM[[#This Row],[PL Tailor]]/Base_CRM[[#This Row],[PL Declarado]]),0)</f>
        <v>0</v>
      </c>
      <c r="P595" s="11" t="str">
        <f>IF(Base_CRM[[#This Row],[Estado Civil]]="","PESSOA JURÍDICA","PESSOA FÍSICA")</f>
        <v>PESSOA FÍSICA</v>
      </c>
      <c r="Q595" t="str">
        <f>_xlfn.XLOOKUP(Base_CRM[[#This Row],[Cód do Cliente]],'[1]F &amp; O'!$A:$A,'[1]F &amp; O'!$F:$F,_xlfn.XLOOKUP(Base_CRM[[#This Row],[Assessor]],[1]DePara!$A:$A,[1]DePara!$D:$D,"Outros",0,1),0,1)</f>
        <v>Thayane Freitas</v>
      </c>
      <c r="R595" s="11" t="str">
        <f>_xlfn.XLOOKUP(Base_CRM[[#This Row],[Cód do Cliente]],'[1]F &amp; O'!$A:$A,'[1]F &amp; O'!D:D,"Sem Finder",0,1)</f>
        <v>Sem Finder</v>
      </c>
      <c r="S595" s="11" t="str">
        <f>_xlfn.XLOOKUP(Base_CRM[[#This Row],[Cód do Cliente]],'[1]F &amp; O'!$A:$A,'[1]F &amp; O'!E:E,"Sem Canal",0,1)</f>
        <v>Sem Canal</v>
      </c>
      <c r="T595" s="11" t="str">
        <f t="shared" si="9"/>
        <v>Cliente XP</v>
      </c>
    </row>
    <row r="596" spans="1:20" x14ac:dyDescent="0.3">
      <c r="A596">
        <v>93076</v>
      </c>
      <c r="B596" s="8" t="s">
        <v>1339</v>
      </c>
      <c r="C596" s="9" t="s">
        <v>74</v>
      </c>
      <c r="D596" s="8">
        <v>134.97999999999999</v>
      </c>
      <c r="E596">
        <v>1000000</v>
      </c>
      <c r="F596" t="s">
        <v>22</v>
      </c>
      <c r="G596" t="s">
        <v>169</v>
      </c>
      <c r="H596" s="10">
        <v>33437</v>
      </c>
      <c r="I596" s="10" t="s">
        <v>1139</v>
      </c>
      <c r="K596" t="s">
        <v>25</v>
      </c>
      <c r="L596" t="s">
        <v>1340</v>
      </c>
      <c r="M596" t="s">
        <v>64</v>
      </c>
      <c r="N596" s="11" t="str">
        <f>Base_CRM[[#This Row],[Cidade]]&amp;"/"&amp;Base_CRM[[#This Row],[Estado]]</f>
        <v>BALNEARIO CAMBORIU/</v>
      </c>
      <c r="O596" s="12">
        <f>IFERROR(IF(Base_CRM[[#This Row],[PL Tailor]]&gt;Base_CRM[[#This Row],[PL Declarado]],1,Base_CRM[[#This Row],[PL Tailor]]/Base_CRM[[#This Row],[PL Declarado]]),0)</f>
        <v>1.3497999999999998E-4</v>
      </c>
      <c r="P596" s="11" t="str">
        <f>IF(Base_CRM[[#This Row],[Estado Civil]]="","PESSOA JURÍDICA","PESSOA FÍSICA")</f>
        <v>PESSOA FÍSICA</v>
      </c>
      <c r="Q596" t="str">
        <f>_xlfn.XLOOKUP(Base_CRM[[#This Row],[Cód do Cliente]],'[1]F &amp; O'!$A:$A,'[1]F &amp; O'!$F:$F,_xlfn.XLOOKUP(Base_CRM[[#This Row],[Assessor]],[1]DePara!$A:$A,[1]DePara!$D:$D,"Outros",0,1),0,1)</f>
        <v>Thayane Freitas</v>
      </c>
      <c r="R596" s="11" t="str">
        <f>_xlfn.XLOOKUP(Base_CRM[[#This Row],[Cód do Cliente]],'[1]F &amp; O'!$A:$A,'[1]F &amp; O'!D:D,"Sem Finder",0,1)</f>
        <v>Sem Finder</v>
      </c>
      <c r="S596" s="11" t="str">
        <f>_xlfn.XLOOKUP(Base_CRM[[#This Row],[Cód do Cliente]],'[1]F &amp; O'!$A:$A,'[1]F &amp; O'!E:E,"Sem Canal",0,1)</f>
        <v>Sem Canal</v>
      </c>
      <c r="T596" s="11" t="str">
        <f t="shared" si="9"/>
        <v>Cliente XP</v>
      </c>
    </row>
    <row r="597" spans="1:20" x14ac:dyDescent="0.3">
      <c r="A597">
        <v>93931</v>
      </c>
      <c r="B597" s="8" t="s">
        <v>1341</v>
      </c>
      <c r="C597" s="9" t="s">
        <v>21</v>
      </c>
      <c r="D597" s="8">
        <v>661630.17000000004</v>
      </c>
      <c r="E597">
        <v>1000500</v>
      </c>
      <c r="F597" t="s">
        <v>29</v>
      </c>
      <c r="G597" t="s">
        <v>45</v>
      </c>
      <c r="H597" s="10">
        <v>33365</v>
      </c>
      <c r="I597" s="10" t="s">
        <v>24</v>
      </c>
      <c r="K597" t="s">
        <v>25</v>
      </c>
      <c r="L597" t="s">
        <v>1342</v>
      </c>
      <c r="M597" t="s">
        <v>886</v>
      </c>
      <c r="N597" s="11" t="str">
        <f>Base_CRM[[#This Row],[Cidade]]&amp;"/"&amp;Base_CRM[[#This Row],[Estado]]</f>
        <v>RIO DE JANEIRO/</v>
      </c>
      <c r="O597" s="12">
        <f>IFERROR(IF(Base_CRM[[#This Row],[PL Tailor]]&gt;Base_CRM[[#This Row],[PL Declarado]],1,Base_CRM[[#This Row],[PL Tailor]]/Base_CRM[[#This Row],[PL Declarado]]),0)</f>
        <v>0.66129952023988015</v>
      </c>
      <c r="P597" s="11" t="str">
        <f>IF(Base_CRM[[#This Row],[Estado Civil]]="","PESSOA JURÍDICA","PESSOA FÍSICA")</f>
        <v>PESSOA FÍSICA</v>
      </c>
      <c r="Q597" t="str">
        <f>_xlfn.XLOOKUP(Base_CRM[[#This Row],[Cód do Cliente]],'[1]F &amp; O'!$A:$A,'[1]F &amp; O'!$F:$F,_xlfn.XLOOKUP(Base_CRM[[#This Row],[Assessor]],[1]DePara!$A:$A,[1]DePara!$D:$D,"Outros",0,1),0,1)</f>
        <v>Leonardo Burle</v>
      </c>
      <c r="R597" s="11" t="str">
        <f>_xlfn.XLOOKUP(Base_CRM[[#This Row],[Cód do Cliente]],'[1]F &amp; O'!$A:$A,'[1]F &amp; O'!D:D,"Sem Finder",0,1)</f>
        <v>Sem Finder</v>
      </c>
      <c r="S597" s="11" t="str">
        <f>_xlfn.XLOOKUP(Base_CRM[[#This Row],[Cód do Cliente]],'[1]F &amp; O'!$A:$A,'[1]F &amp; O'!E:E,"Sem Canal",0,1)</f>
        <v>Sem Canal</v>
      </c>
      <c r="T597" s="11" t="str">
        <f t="shared" si="9"/>
        <v>Cliente XP</v>
      </c>
    </row>
    <row r="598" spans="1:20" x14ac:dyDescent="0.3">
      <c r="A598">
        <v>9409265</v>
      </c>
      <c r="B598" s="8" t="s">
        <v>1343</v>
      </c>
      <c r="C598" s="9" t="s">
        <v>74</v>
      </c>
      <c r="D598" s="8">
        <v>110528.25</v>
      </c>
      <c r="E598">
        <v>100000</v>
      </c>
      <c r="F598" t="s">
        <v>29</v>
      </c>
      <c r="G598" t="s">
        <v>164</v>
      </c>
      <c r="H598" s="10">
        <v>17664</v>
      </c>
      <c r="I598" s="10" t="s">
        <v>24</v>
      </c>
      <c r="K598" t="s">
        <v>593</v>
      </c>
      <c r="L598" t="s">
        <v>1344</v>
      </c>
      <c r="N598" s="11" t="str">
        <f>Base_CRM[[#This Row],[Cidade]]&amp;"/"&amp;Base_CRM[[#This Row],[Estado]]</f>
        <v>RIO DE JANEIRO/</v>
      </c>
      <c r="O598" s="12">
        <f>IFERROR(IF(Base_CRM[[#This Row],[PL Tailor]]&gt;Base_CRM[[#This Row],[PL Declarado]],1,Base_CRM[[#This Row],[PL Tailor]]/Base_CRM[[#This Row],[PL Declarado]]),0)</f>
        <v>1</v>
      </c>
      <c r="P598" s="11" t="str">
        <f>IF(Base_CRM[[#This Row],[Estado Civil]]="","PESSOA JURÍDICA","PESSOA FÍSICA")</f>
        <v>PESSOA FÍSICA</v>
      </c>
      <c r="Q598" t="str">
        <f>_xlfn.XLOOKUP(Base_CRM[[#This Row],[Cód do Cliente]],'[1]F &amp; O'!$A:$A,'[1]F &amp; O'!$F:$F,_xlfn.XLOOKUP(Base_CRM[[#This Row],[Assessor]],[1]DePara!$A:$A,[1]DePara!$D:$D,"Outros",0,1),0,1)</f>
        <v>Thayane Freitas</v>
      </c>
      <c r="R598" s="11" t="str">
        <f>_xlfn.XLOOKUP(Base_CRM[[#This Row],[Cód do Cliente]],'[1]F &amp; O'!$A:$A,'[1]F &amp; O'!D:D,"Sem Finder",0,1)</f>
        <v>Sem Finder</v>
      </c>
      <c r="S598" s="11" t="str">
        <f>_xlfn.XLOOKUP(Base_CRM[[#This Row],[Cód do Cliente]],'[1]F &amp; O'!$A:$A,'[1]F &amp; O'!E:E,"Sem Canal",0,1)</f>
        <v>Sem Canal</v>
      </c>
      <c r="T598" s="11" t="str">
        <f t="shared" si="9"/>
        <v>Cliente XP</v>
      </c>
    </row>
    <row r="599" spans="1:20" x14ac:dyDescent="0.3">
      <c r="A599">
        <v>9414992</v>
      </c>
      <c r="B599" s="8" t="s">
        <v>1345</v>
      </c>
      <c r="C599" s="9" t="s">
        <v>74</v>
      </c>
      <c r="D599" s="8">
        <v>0</v>
      </c>
      <c r="E599">
        <v>56000</v>
      </c>
      <c r="F599" t="s">
        <v>92</v>
      </c>
      <c r="G599" t="s">
        <v>35</v>
      </c>
      <c r="H599" s="10">
        <v>29592</v>
      </c>
      <c r="I599" s="10" t="s">
        <v>24</v>
      </c>
      <c r="K599" t="s">
        <v>25</v>
      </c>
      <c r="L599" t="s">
        <v>1346</v>
      </c>
      <c r="N599" s="11" t="str">
        <f>Base_CRM[[#This Row],[Cidade]]&amp;"/"&amp;Base_CRM[[#This Row],[Estado]]</f>
        <v>RIO DE JANEIRO/</v>
      </c>
      <c r="O599" s="12">
        <f>IFERROR(IF(Base_CRM[[#This Row],[PL Tailor]]&gt;Base_CRM[[#This Row],[PL Declarado]],1,Base_CRM[[#This Row],[PL Tailor]]/Base_CRM[[#This Row],[PL Declarado]]),0)</f>
        <v>0</v>
      </c>
      <c r="P599" s="11" t="str">
        <f>IF(Base_CRM[[#This Row],[Estado Civil]]="","PESSOA JURÍDICA","PESSOA FÍSICA")</f>
        <v>PESSOA FÍSICA</v>
      </c>
      <c r="Q599" t="str">
        <f>_xlfn.XLOOKUP(Base_CRM[[#This Row],[Cód do Cliente]],'[1]F &amp; O'!$A:$A,'[1]F &amp; O'!$F:$F,_xlfn.XLOOKUP(Base_CRM[[#This Row],[Assessor]],[1]DePara!$A:$A,[1]DePara!$D:$D,"Outros",0,1),0,1)</f>
        <v>Thayane Freitas</v>
      </c>
      <c r="R599" s="11" t="str">
        <f>_xlfn.XLOOKUP(Base_CRM[[#This Row],[Cód do Cliente]],'[1]F &amp; O'!$A:$A,'[1]F &amp; O'!D:D,"Sem Finder",0,1)</f>
        <v>Sem Finder</v>
      </c>
      <c r="S599" s="11" t="str">
        <f>_xlfn.XLOOKUP(Base_CRM[[#This Row],[Cód do Cliente]],'[1]F &amp; O'!$A:$A,'[1]F &amp; O'!E:E,"Sem Canal",0,1)</f>
        <v>Sem Canal</v>
      </c>
      <c r="T599" s="11" t="str">
        <f t="shared" si="9"/>
        <v>Cliente XP</v>
      </c>
    </row>
    <row r="600" spans="1:20" x14ac:dyDescent="0.3">
      <c r="A600">
        <v>9493357</v>
      </c>
      <c r="B600" s="8" t="s">
        <v>1347</v>
      </c>
      <c r="C600" s="9" t="s">
        <v>21</v>
      </c>
      <c r="D600" s="8">
        <v>354613.46</v>
      </c>
      <c r="E600">
        <v>2000000</v>
      </c>
      <c r="F600" t="s">
        <v>29</v>
      </c>
      <c r="H600" s="10">
        <v>21834</v>
      </c>
      <c r="I600" s="10" t="s">
        <v>24</v>
      </c>
      <c r="K600" t="s">
        <v>42</v>
      </c>
      <c r="L600" t="s">
        <v>1348</v>
      </c>
      <c r="M600" t="s">
        <v>77</v>
      </c>
      <c r="N600" s="11" t="str">
        <f>Base_CRM[[#This Row],[Cidade]]&amp;"/"&amp;Base_CRM[[#This Row],[Estado]]</f>
        <v>RIO DE JANEIRO/</v>
      </c>
      <c r="O600" s="12">
        <f>IFERROR(IF(Base_CRM[[#This Row],[PL Tailor]]&gt;Base_CRM[[#This Row],[PL Declarado]],1,Base_CRM[[#This Row],[PL Tailor]]/Base_CRM[[#This Row],[PL Declarado]]),0)</f>
        <v>0.17730673000000002</v>
      </c>
      <c r="P600" s="11" t="str">
        <f>IF(Base_CRM[[#This Row],[Estado Civil]]="","PESSOA JURÍDICA","PESSOA FÍSICA")</f>
        <v>PESSOA FÍSICA</v>
      </c>
      <c r="Q600" t="str">
        <f>_xlfn.XLOOKUP(Base_CRM[[#This Row],[Cód do Cliente]],'[1]F &amp; O'!$A:$A,'[1]F &amp; O'!$F:$F,_xlfn.XLOOKUP(Base_CRM[[#This Row],[Assessor]],[1]DePara!$A:$A,[1]DePara!$D:$D,"Outros",0,1),0,1)</f>
        <v>Leonardo Burle</v>
      </c>
      <c r="R600" s="11" t="str">
        <f>_xlfn.XLOOKUP(Base_CRM[[#This Row],[Cód do Cliente]],'[1]F &amp; O'!$A:$A,'[1]F &amp; O'!D:D,"Sem Finder",0,1)</f>
        <v>Sem Finder</v>
      </c>
      <c r="S600" s="11" t="str">
        <f>_xlfn.XLOOKUP(Base_CRM[[#This Row],[Cód do Cliente]],'[1]F &amp; O'!$A:$A,'[1]F &amp; O'!E:E,"Sem Canal",0,1)</f>
        <v>Sem Canal</v>
      </c>
      <c r="T600" s="11" t="str">
        <f t="shared" si="9"/>
        <v>Cliente XP</v>
      </c>
    </row>
    <row r="601" spans="1:20" x14ac:dyDescent="0.3">
      <c r="A601">
        <v>9508704</v>
      </c>
      <c r="B601" s="8" t="s">
        <v>1349</v>
      </c>
      <c r="C601" s="9" t="s">
        <v>34</v>
      </c>
      <c r="D601" s="8">
        <v>247430.54</v>
      </c>
      <c r="E601">
        <v>0</v>
      </c>
      <c r="F601" t="s">
        <v>22</v>
      </c>
      <c r="G601" t="s">
        <v>71</v>
      </c>
      <c r="H601" s="10">
        <v>32485</v>
      </c>
      <c r="I601" s="10" t="s">
        <v>699</v>
      </c>
      <c r="K601" t="s">
        <v>25</v>
      </c>
      <c r="L601" t="s">
        <v>1350</v>
      </c>
      <c r="M601" t="s">
        <v>355</v>
      </c>
      <c r="N601" s="11" t="str">
        <f>Base_CRM[[#This Row],[Cidade]]&amp;"/"&amp;Base_CRM[[#This Row],[Estado]]</f>
        <v>Volta Redonda/</v>
      </c>
      <c r="O601" s="12">
        <f>IFERROR(IF(Base_CRM[[#This Row],[PL Tailor]]&gt;Base_CRM[[#This Row],[PL Declarado]],1,Base_CRM[[#This Row],[PL Tailor]]/Base_CRM[[#This Row],[PL Declarado]]),0)</f>
        <v>1</v>
      </c>
      <c r="P601" s="11" t="str">
        <f>IF(Base_CRM[[#This Row],[Estado Civil]]="","PESSOA JURÍDICA","PESSOA FÍSICA")</f>
        <v>PESSOA FÍSICA</v>
      </c>
      <c r="Q601" t="str">
        <f>_xlfn.XLOOKUP(Base_CRM[[#This Row],[Cód do Cliente]],'[1]F &amp; O'!$A:$A,'[1]F &amp; O'!$F:$F,_xlfn.XLOOKUP(Base_CRM[[#This Row],[Assessor]],[1]DePara!$A:$A,[1]DePara!$D:$D,"Outros",0,1),0,1)</f>
        <v>Adonias Noronha</v>
      </c>
      <c r="R601" s="11" t="str">
        <f>_xlfn.XLOOKUP(Base_CRM[[#This Row],[Cód do Cliente]],'[1]F &amp; O'!$A:$A,'[1]F &amp; O'!D:D,"Sem Finder",0,1)</f>
        <v>Sem Finder</v>
      </c>
      <c r="S601" s="11" t="str">
        <f>_xlfn.XLOOKUP(Base_CRM[[#This Row],[Cód do Cliente]],'[1]F &amp; O'!$A:$A,'[1]F &amp; O'!E:E,"Sem Canal",0,1)</f>
        <v>Sem Canal</v>
      </c>
      <c r="T601" s="11" t="str">
        <f t="shared" si="9"/>
        <v>Cliente XP</v>
      </c>
    </row>
    <row r="602" spans="1:20" x14ac:dyDescent="0.3">
      <c r="A602">
        <v>9514040</v>
      </c>
      <c r="B602" s="8" t="s">
        <v>301</v>
      </c>
      <c r="C602" s="9" t="s">
        <v>39</v>
      </c>
      <c r="D602" s="8">
        <v>38996.67</v>
      </c>
      <c r="E602">
        <v>1000000</v>
      </c>
      <c r="F602" t="s">
        <v>29</v>
      </c>
      <c r="G602" t="s">
        <v>67</v>
      </c>
      <c r="H602" s="10">
        <v>32501</v>
      </c>
      <c r="I602" s="10" t="s">
        <v>115</v>
      </c>
      <c r="K602" t="s">
        <v>25</v>
      </c>
      <c r="L602" t="s">
        <v>302</v>
      </c>
      <c r="N602" s="11" t="str">
        <f>Base_CRM[[#This Row],[Cidade]]&amp;"/"&amp;Base_CRM[[#This Row],[Estado]]</f>
        <v>BARUERI/</v>
      </c>
      <c r="O602" s="12">
        <f>IFERROR(IF(Base_CRM[[#This Row],[PL Tailor]]&gt;Base_CRM[[#This Row],[PL Declarado]],1,Base_CRM[[#This Row],[PL Tailor]]/Base_CRM[[#This Row],[PL Declarado]]),0)</f>
        <v>3.8996669999999997E-2</v>
      </c>
      <c r="P602" s="11" t="str">
        <f>IF(Base_CRM[[#This Row],[Estado Civil]]="","PESSOA JURÍDICA","PESSOA FÍSICA")</f>
        <v>PESSOA FÍSICA</v>
      </c>
      <c r="Q602" t="str">
        <f>_xlfn.XLOOKUP(Base_CRM[[#This Row],[Cód do Cliente]],'[1]F &amp; O'!$A:$A,'[1]F &amp; O'!$F:$F,_xlfn.XLOOKUP(Base_CRM[[#This Row],[Assessor]],[1]DePara!$A:$A,[1]DePara!$D:$D,"Outros",0,1),0,1)</f>
        <v>Gestora</v>
      </c>
      <c r="R602" s="11" t="str">
        <f>_xlfn.XLOOKUP(Base_CRM[[#This Row],[Cód do Cliente]],'[1]F &amp; O'!$A:$A,'[1]F &amp; O'!D:D,"Sem Finder",0,1)</f>
        <v>Sem Finder</v>
      </c>
      <c r="S602" s="11" t="str">
        <f>_xlfn.XLOOKUP(Base_CRM[[#This Row],[Cód do Cliente]],'[1]F &amp; O'!$A:$A,'[1]F &amp; O'!E:E,"Sem Canal",0,1)</f>
        <v>Gestora</v>
      </c>
      <c r="T602" s="11" t="str">
        <f t="shared" si="9"/>
        <v>Cliente XP</v>
      </c>
    </row>
    <row r="603" spans="1:20" x14ac:dyDescent="0.3">
      <c r="A603">
        <v>9539185</v>
      </c>
      <c r="B603" s="8" t="s">
        <v>1351</v>
      </c>
      <c r="C603" s="9" t="s">
        <v>39</v>
      </c>
      <c r="D603" s="8">
        <v>17429.12</v>
      </c>
      <c r="E603">
        <v>1500</v>
      </c>
      <c r="F603" t="s">
        <v>40</v>
      </c>
      <c r="G603" t="s">
        <v>35</v>
      </c>
      <c r="H603" s="10">
        <v>33018</v>
      </c>
      <c r="I603" s="10" t="s">
        <v>31</v>
      </c>
      <c r="K603" t="s">
        <v>42</v>
      </c>
      <c r="L603" t="s">
        <v>1352</v>
      </c>
      <c r="N603" s="11" t="str">
        <f>Base_CRM[[#This Row],[Cidade]]&amp;"/"&amp;Base_CRM[[#This Row],[Estado]]</f>
        <v>SAO PAULO/</v>
      </c>
      <c r="O603" s="12">
        <f>IFERROR(IF(Base_CRM[[#This Row],[PL Tailor]]&gt;Base_CRM[[#This Row],[PL Declarado]],1,Base_CRM[[#This Row],[PL Tailor]]/Base_CRM[[#This Row],[PL Declarado]]),0)</f>
        <v>1</v>
      </c>
      <c r="P603" s="11" t="str">
        <f>IF(Base_CRM[[#This Row],[Estado Civil]]="","PESSOA JURÍDICA","PESSOA FÍSICA")</f>
        <v>PESSOA FÍSICA</v>
      </c>
      <c r="Q603" t="str">
        <f>_xlfn.XLOOKUP(Base_CRM[[#This Row],[Cód do Cliente]],'[1]F &amp; O'!$A:$A,'[1]F &amp; O'!$F:$F,_xlfn.XLOOKUP(Base_CRM[[#This Row],[Assessor]],[1]DePara!$A:$A,[1]DePara!$D:$D,"Outros",0,1),0,1)</f>
        <v>Gestora</v>
      </c>
      <c r="R603" s="11" t="str">
        <f>_xlfn.XLOOKUP(Base_CRM[[#This Row],[Cód do Cliente]],'[1]F &amp; O'!$A:$A,'[1]F &amp; O'!D:D,"Sem Finder",0,1)</f>
        <v>Sem Finder</v>
      </c>
      <c r="S603" s="11" t="str">
        <f>_xlfn.XLOOKUP(Base_CRM[[#This Row],[Cód do Cliente]],'[1]F &amp; O'!$A:$A,'[1]F &amp; O'!E:E,"Sem Canal",0,1)</f>
        <v>Gestora</v>
      </c>
      <c r="T603" s="11" t="str">
        <f t="shared" si="9"/>
        <v>Cliente XP</v>
      </c>
    </row>
    <row r="604" spans="1:20" x14ac:dyDescent="0.3">
      <c r="A604">
        <v>9574068</v>
      </c>
      <c r="B604" s="8" t="s">
        <v>1163</v>
      </c>
      <c r="C604" s="9" t="s">
        <v>21</v>
      </c>
      <c r="D604" s="8">
        <v>0</v>
      </c>
      <c r="E604">
        <v>5000</v>
      </c>
      <c r="F604" t="s">
        <v>22</v>
      </c>
      <c r="G604" t="s">
        <v>30</v>
      </c>
      <c r="H604" s="10">
        <v>24570</v>
      </c>
      <c r="I604" s="10" t="s">
        <v>62</v>
      </c>
      <c r="K604" t="s">
        <v>68</v>
      </c>
      <c r="L604" t="s">
        <v>1164</v>
      </c>
      <c r="N604" s="11" t="str">
        <f>Base_CRM[[#This Row],[Cidade]]&amp;"/"&amp;Base_CRM[[#This Row],[Estado]]</f>
        <v>Rio de Janeiro/</v>
      </c>
      <c r="O604" s="12">
        <f>IFERROR(IF(Base_CRM[[#This Row],[PL Tailor]]&gt;Base_CRM[[#This Row],[PL Declarado]],1,Base_CRM[[#This Row],[PL Tailor]]/Base_CRM[[#This Row],[PL Declarado]]),0)</f>
        <v>0</v>
      </c>
      <c r="P604" s="11" t="str">
        <f>IF(Base_CRM[[#This Row],[Estado Civil]]="","PESSOA JURÍDICA","PESSOA FÍSICA")</f>
        <v>PESSOA FÍSICA</v>
      </c>
      <c r="Q604" t="str">
        <f>_xlfn.XLOOKUP(Base_CRM[[#This Row],[Cód do Cliente]],'[1]F &amp; O'!$A:$A,'[1]F &amp; O'!$F:$F,_xlfn.XLOOKUP(Base_CRM[[#This Row],[Assessor]],[1]DePara!$A:$A,[1]DePara!$D:$D,"Outros",0,1),0,1)</f>
        <v>Leonardo Burle</v>
      </c>
      <c r="R604" s="11" t="str">
        <f>_xlfn.XLOOKUP(Base_CRM[[#This Row],[Cód do Cliente]],'[1]F &amp; O'!$A:$A,'[1]F &amp; O'!D:D,"Sem Finder",0,1)</f>
        <v>Sem Finder</v>
      </c>
      <c r="S604" s="11" t="str">
        <f>_xlfn.XLOOKUP(Base_CRM[[#This Row],[Cód do Cliente]],'[1]F &amp; O'!$A:$A,'[1]F &amp; O'!E:E,"Sem Canal",0,1)</f>
        <v>Sem Canal</v>
      </c>
      <c r="T604" s="11" t="str">
        <f t="shared" si="9"/>
        <v>Cliente XP</v>
      </c>
    </row>
    <row r="605" spans="1:20" x14ac:dyDescent="0.3">
      <c r="A605">
        <v>9579033</v>
      </c>
      <c r="B605" s="8" t="s">
        <v>1353</v>
      </c>
      <c r="C605" s="9" t="s">
        <v>74</v>
      </c>
      <c r="D605" s="8">
        <v>187035.89</v>
      </c>
      <c r="E605">
        <v>10</v>
      </c>
      <c r="F605" t="s">
        <v>29</v>
      </c>
      <c r="G605" t="s">
        <v>929</v>
      </c>
      <c r="H605" s="10">
        <v>26617</v>
      </c>
      <c r="I605" s="10" t="s">
        <v>24</v>
      </c>
      <c r="K605" t="s">
        <v>42</v>
      </c>
      <c r="L605" t="s">
        <v>1354</v>
      </c>
      <c r="N605" s="11" t="str">
        <f>Base_CRM[[#This Row],[Cidade]]&amp;"/"&amp;Base_CRM[[#This Row],[Estado]]</f>
        <v>RIO DE JANEIRO/</v>
      </c>
      <c r="O605" s="12">
        <f>IFERROR(IF(Base_CRM[[#This Row],[PL Tailor]]&gt;Base_CRM[[#This Row],[PL Declarado]],1,Base_CRM[[#This Row],[PL Tailor]]/Base_CRM[[#This Row],[PL Declarado]]),0)</f>
        <v>1</v>
      </c>
      <c r="P605" s="11" t="str">
        <f>IF(Base_CRM[[#This Row],[Estado Civil]]="","PESSOA JURÍDICA","PESSOA FÍSICA")</f>
        <v>PESSOA FÍSICA</v>
      </c>
      <c r="Q605" t="str">
        <f>_xlfn.XLOOKUP(Base_CRM[[#This Row],[Cód do Cliente]],'[1]F &amp; O'!$A:$A,'[1]F &amp; O'!$F:$F,_xlfn.XLOOKUP(Base_CRM[[#This Row],[Assessor]],[1]DePara!$A:$A,[1]DePara!$D:$D,"Outros",0,1),0,1)</f>
        <v>Thayane Freitas</v>
      </c>
      <c r="R605" s="11" t="str">
        <f>_xlfn.XLOOKUP(Base_CRM[[#This Row],[Cód do Cliente]],'[1]F &amp; O'!$A:$A,'[1]F &amp; O'!D:D,"Sem Finder",0,1)</f>
        <v>Sem Finder</v>
      </c>
      <c r="S605" s="11" t="str">
        <f>_xlfn.XLOOKUP(Base_CRM[[#This Row],[Cód do Cliente]],'[1]F &amp; O'!$A:$A,'[1]F &amp; O'!E:E,"Sem Canal",0,1)</f>
        <v>Sem Canal</v>
      </c>
      <c r="T605" s="11" t="str">
        <f t="shared" si="9"/>
        <v>Cliente XP</v>
      </c>
    </row>
    <row r="606" spans="1:20" x14ac:dyDescent="0.3">
      <c r="A606">
        <v>9600961</v>
      </c>
      <c r="B606" s="8" t="s">
        <v>1355</v>
      </c>
      <c r="C606" s="9" t="s">
        <v>21</v>
      </c>
      <c r="D606" s="8">
        <v>497911.81</v>
      </c>
      <c r="E606">
        <v>5000000</v>
      </c>
      <c r="F606" t="s">
        <v>29</v>
      </c>
      <c r="G606" t="s">
        <v>35</v>
      </c>
      <c r="H606" s="10">
        <v>17589</v>
      </c>
      <c r="I606" s="10" t="s">
        <v>24</v>
      </c>
      <c r="K606" t="s">
        <v>42</v>
      </c>
      <c r="L606" t="s">
        <v>1356</v>
      </c>
      <c r="N606" s="11" t="str">
        <f>Base_CRM[[#This Row],[Cidade]]&amp;"/"&amp;Base_CRM[[#This Row],[Estado]]</f>
        <v>RIO DE JANEIRO/</v>
      </c>
      <c r="O606" s="12">
        <f>IFERROR(IF(Base_CRM[[#This Row],[PL Tailor]]&gt;Base_CRM[[#This Row],[PL Declarado]],1,Base_CRM[[#This Row],[PL Tailor]]/Base_CRM[[#This Row],[PL Declarado]]),0)</f>
        <v>9.9582361999999994E-2</v>
      </c>
      <c r="P606" s="11" t="str">
        <f>IF(Base_CRM[[#This Row],[Estado Civil]]="","PESSOA JURÍDICA","PESSOA FÍSICA")</f>
        <v>PESSOA FÍSICA</v>
      </c>
      <c r="Q606" t="str">
        <f>_xlfn.XLOOKUP(Base_CRM[[#This Row],[Cód do Cliente]],'[1]F &amp; O'!$A:$A,'[1]F &amp; O'!$F:$F,_xlfn.XLOOKUP(Base_CRM[[#This Row],[Assessor]],[1]DePara!$A:$A,[1]DePara!$D:$D,"Outros",0,1),0,1)</f>
        <v>Leonardo Burle</v>
      </c>
      <c r="R606" s="11" t="str">
        <f>_xlfn.XLOOKUP(Base_CRM[[#This Row],[Cód do Cliente]],'[1]F &amp; O'!$A:$A,'[1]F &amp; O'!D:D,"Sem Finder",0,1)</f>
        <v>Sem Finder</v>
      </c>
      <c r="S606" s="11" t="str">
        <f>_xlfn.XLOOKUP(Base_CRM[[#This Row],[Cód do Cliente]],'[1]F &amp; O'!$A:$A,'[1]F &amp; O'!E:E,"Sem Canal",0,1)</f>
        <v>Sem Canal</v>
      </c>
      <c r="T606" s="11" t="str">
        <f t="shared" si="9"/>
        <v>Cliente XP</v>
      </c>
    </row>
    <row r="607" spans="1:20" x14ac:dyDescent="0.3">
      <c r="A607">
        <v>9605443</v>
      </c>
      <c r="B607" s="8" t="s">
        <v>1213</v>
      </c>
      <c r="C607" s="9" t="s">
        <v>39</v>
      </c>
      <c r="D607" s="8">
        <v>359.98</v>
      </c>
      <c r="E607">
        <v>1000000</v>
      </c>
      <c r="F607" t="s">
        <v>40</v>
      </c>
      <c r="G607" t="s">
        <v>334</v>
      </c>
      <c r="H607" s="10">
        <v>33320</v>
      </c>
      <c r="I607" s="10" t="s">
        <v>115</v>
      </c>
      <c r="K607" t="s">
        <v>25</v>
      </c>
      <c r="L607" t="s">
        <v>1214</v>
      </c>
      <c r="N607" s="11" t="str">
        <f>Base_CRM[[#This Row],[Cidade]]&amp;"/"&amp;Base_CRM[[#This Row],[Estado]]</f>
        <v>BARUERI/</v>
      </c>
      <c r="O607" s="12">
        <f>IFERROR(IF(Base_CRM[[#This Row],[PL Tailor]]&gt;Base_CRM[[#This Row],[PL Declarado]],1,Base_CRM[[#This Row],[PL Tailor]]/Base_CRM[[#This Row],[PL Declarado]]),0)</f>
        <v>3.5998000000000003E-4</v>
      </c>
      <c r="P607" s="11" t="str">
        <f>IF(Base_CRM[[#This Row],[Estado Civil]]="","PESSOA JURÍDICA","PESSOA FÍSICA")</f>
        <v>PESSOA FÍSICA</v>
      </c>
      <c r="Q607" t="str">
        <f>_xlfn.XLOOKUP(Base_CRM[[#This Row],[Cód do Cliente]],'[1]F &amp; O'!$A:$A,'[1]F &amp; O'!$F:$F,_xlfn.XLOOKUP(Base_CRM[[#This Row],[Assessor]],[1]DePara!$A:$A,[1]DePara!$D:$D,"Outros",0,1),0,1)</f>
        <v>Gestora</v>
      </c>
      <c r="R607" s="11" t="str">
        <f>_xlfn.XLOOKUP(Base_CRM[[#This Row],[Cód do Cliente]],'[1]F &amp; O'!$A:$A,'[1]F &amp; O'!D:D,"Sem Finder",0,1)</f>
        <v>Sem Finder</v>
      </c>
      <c r="S607" s="11" t="str">
        <f>_xlfn.XLOOKUP(Base_CRM[[#This Row],[Cód do Cliente]],'[1]F &amp; O'!$A:$A,'[1]F &amp; O'!E:E,"Sem Canal",0,1)</f>
        <v>Gestora</v>
      </c>
      <c r="T607" s="11" t="str">
        <f t="shared" si="9"/>
        <v>Cliente XP</v>
      </c>
    </row>
    <row r="608" spans="1:20" x14ac:dyDescent="0.3">
      <c r="A608">
        <v>9613827</v>
      </c>
      <c r="B608" s="8" t="s">
        <v>1357</v>
      </c>
      <c r="C608" s="9" t="s">
        <v>21</v>
      </c>
      <c r="D608" s="8">
        <v>934566.46</v>
      </c>
      <c r="E608">
        <v>800000</v>
      </c>
      <c r="F608" t="s">
        <v>29</v>
      </c>
      <c r="G608" t="s">
        <v>67</v>
      </c>
      <c r="H608" s="10">
        <v>34597</v>
      </c>
      <c r="I608" s="10" t="s">
        <v>24</v>
      </c>
      <c r="K608" t="s">
        <v>25</v>
      </c>
      <c r="L608" t="s">
        <v>1358</v>
      </c>
      <c r="N608" s="11" t="str">
        <f>Base_CRM[[#This Row],[Cidade]]&amp;"/"&amp;Base_CRM[[#This Row],[Estado]]</f>
        <v>RIO DE JANEIRO/</v>
      </c>
      <c r="O608" s="12">
        <f>IFERROR(IF(Base_CRM[[#This Row],[PL Tailor]]&gt;Base_CRM[[#This Row],[PL Declarado]],1,Base_CRM[[#This Row],[PL Tailor]]/Base_CRM[[#This Row],[PL Declarado]]),0)</f>
        <v>1</v>
      </c>
      <c r="P608" s="11" t="str">
        <f>IF(Base_CRM[[#This Row],[Estado Civil]]="","PESSOA JURÍDICA","PESSOA FÍSICA")</f>
        <v>PESSOA FÍSICA</v>
      </c>
      <c r="Q608" t="str">
        <f>_xlfn.XLOOKUP(Base_CRM[[#This Row],[Cód do Cliente]],'[1]F &amp; O'!$A:$A,'[1]F &amp; O'!$F:$F,_xlfn.XLOOKUP(Base_CRM[[#This Row],[Assessor]],[1]DePara!$A:$A,[1]DePara!$D:$D,"Outros",0,1),0,1)</f>
        <v>Leonardo Burle</v>
      </c>
      <c r="R608" s="11" t="str">
        <f>_xlfn.XLOOKUP(Base_CRM[[#This Row],[Cód do Cliente]],'[1]F &amp; O'!$A:$A,'[1]F &amp; O'!D:D,"Sem Finder",0,1)</f>
        <v>Sem Finder</v>
      </c>
      <c r="S608" s="11" t="str">
        <f>_xlfn.XLOOKUP(Base_CRM[[#This Row],[Cód do Cliente]],'[1]F &amp; O'!$A:$A,'[1]F &amp; O'!E:E,"Sem Canal",0,1)</f>
        <v>Sem Canal</v>
      </c>
      <c r="T608" s="11" t="str">
        <f t="shared" si="9"/>
        <v>Cliente XP</v>
      </c>
    </row>
    <row r="609" spans="1:20" x14ac:dyDescent="0.3">
      <c r="A609">
        <v>9631716</v>
      </c>
      <c r="B609" s="8" t="s">
        <v>1359</v>
      </c>
      <c r="C609" s="9" t="s">
        <v>74</v>
      </c>
      <c r="D609" s="8">
        <v>0</v>
      </c>
      <c r="E609">
        <v>47000</v>
      </c>
      <c r="F609" t="s">
        <v>40</v>
      </c>
      <c r="G609" t="s">
        <v>127</v>
      </c>
      <c r="H609" s="10">
        <v>17752</v>
      </c>
      <c r="I609" s="10" t="s">
        <v>24</v>
      </c>
      <c r="K609" t="s">
        <v>42</v>
      </c>
      <c r="L609" t="s">
        <v>1360</v>
      </c>
      <c r="N609" s="11" t="str">
        <f>Base_CRM[[#This Row],[Cidade]]&amp;"/"&amp;Base_CRM[[#This Row],[Estado]]</f>
        <v>RIO DE JANEIRO/</v>
      </c>
      <c r="O609" s="12">
        <f>IFERROR(IF(Base_CRM[[#This Row],[PL Tailor]]&gt;Base_CRM[[#This Row],[PL Declarado]],1,Base_CRM[[#This Row],[PL Tailor]]/Base_CRM[[#This Row],[PL Declarado]]),0)</f>
        <v>0</v>
      </c>
      <c r="P609" s="11" t="str">
        <f>IF(Base_CRM[[#This Row],[Estado Civil]]="","PESSOA JURÍDICA","PESSOA FÍSICA")</f>
        <v>PESSOA FÍSICA</v>
      </c>
      <c r="Q609" t="str">
        <f>_xlfn.XLOOKUP(Base_CRM[[#This Row],[Cód do Cliente]],'[1]F &amp; O'!$A:$A,'[1]F &amp; O'!$F:$F,_xlfn.XLOOKUP(Base_CRM[[#This Row],[Assessor]],[1]DePara!$A:$A,[1]DePara!$D:$D,"Outros",0,1),0,1)</f>
        <v>Thayane Freitas</v>
      </c>
      <c r="R609" s="11" t="str">
        <f>_xlfn.XLOOKUP(Base_CRM[[#This Row],[Cód do Cliente]],'[1]F &amp; O'!$A:$A,'[1]F &amp; O'!D:D,"Sem Finder",0,1)</f>
        <v>Sem Finder</v>
      </c>
      <c r="S609" s="11" t="str">
        <f>_xlfn.XLOOKUP(Base_CRM[[#This Row],[Cód do Cliente]],'[1]F &amp; O'!$A:$A,'[1]F &amp; O'!E:E,"Sem Canal",0,1)</f>
        <v>Sem Canal</v>
      </c>
      <c r="T609" s="11" t="str">
        <f t="shared" si="9"/>
        <v>Cliente XP</v>
      </c>
    </row>
    <row r="610" spans="1:20" x14ac:dyDescent="0.3">
      <c r="A610">
        <v>9631776</v>
      </c>
      <c r="B610" s="8" t="s">
        <v>1361</v>
      </c>
      <c r="C610" s="9" t="s">
        <v>21</v>
      </c>
      <c r="D610" s="8">
        <v>0</v>
      </c>
      <c r="E610">
        <v>100000</v>
      </c>
      <c r="F610" t="s">
        <v>22</v>
      </c>
      <c r="G610" t="s">
        <v>1185</v>
      </c>
      <c r="H610" s="10">
        <v>33774</v>
      </c>
      <c r="I610" s="10" t="s">
        <v>24</v>
      </c>
      <c r="K610" t="s">
        <v>25</v>
      </c>
      <c r="L610" t="s">
        <v>1362</v>
      </c>
      <c r="N610" s="11" t="str">
        <f>Base_CRM[[#This Row],[Cidade]]&amp;"/"&amp;Base_CRM[[#This Row],[Estado]]</f>
        <v>RIO DE JANEIRO/</v>
      </c>
      <c r="O610" s="12">
        <f>IFERROR(IF(Base_CRM[[#This Row],[PL Tailor]]&gt;Base_CRM[[#This Row],[PL Declarado]],1,Base_CRM[[#This Row],[PL Tailor]]/Base_CRM[[#This Row],[PL Declarado]]),0)</f>
        <v>0</v>
      </c>
      <c r="P610" s="11" t="str">
        <f>IF(Base_CRM[[#This Row],[Estado Civil]]="","PESSOA JURÍDICA","PESSOA FÍSICA")</f>
        <v>PESSOA FÍSICA</v>
      </c>
      <c r="Q610" t="str">
        <f>_xlfn.XLOOKUP(Base_CRM[[#This Row],[Cód do Cliente]],'[1]F &amp; O'!$A:$A,'[1]F &amp; O'!$F:$F,_xlfn.XLOOKUP(Base_CRM[[#This Row],[Assessor]],[1]DePara!$A:$A,[1]DePara!$D:$D,"Outros",0,1),0,1)</f>
        <v>Leonardo Burle</v>
      </c>
      <c r="R610" s="11" t="str">
        <f>_xlfn.XLOOKUP(Base_CRM[[#This Row],[Cód do Cliente]],'[1]F &amp; O'!$A:$A,'[1]F &amp; O'!D:D,"Sem Finder",0,1)</f>
        <v>Sem Finder</v>
      </c>
      <c r="S610" s="11" t="str">
        <f>_xlfn.XLOOKUP(Base_CRM[[#This Row],[Cód do Cliente]],'[1]F &amp; O'!$A:$A,'[1]F &amp; O'!E:E,"Sem Canal",0,1)</f>
        <v>Sem Canal</v>
      </c>
      <c r="T610" s="11" t="str">
        <f t="shared" si="9"/>
        <v>Cliente XP</v>
      </c>
    </row>
    <row r="611" spans="1:20" x14ac:dyDescent="0.3">
      <c r="A611">
        <v>9636201</v>
      </c>
      <c r="B611" s="8" t="s">
        <v>1363</v>
      </c>
      <c r="C611" s="9" t="s">
        <v>74</v>
      </c>
      <c r="D611" s="8">
        <v>24994.36</v>
      </c>
      <c r="E611">
        <v>1200000</v>
      </c>
      <c r="F611" t="s">
        <v>22</v>
      </c>
      <c r="G611" t="s">
        <v>1185</v>
      </c>
      <c r="H611" s="10">
        <v>30381</v>
      </c>
      <c r="I611" s="10" t="s">
        <v>24</v>
      </c>
      <c r="K611" t="s">
        <v>25</v>
      </c>
      <c r="L611" t="s">
        <v>1364</v>
      </c>
      <c r="N611" s="11" t="str">
        <f>Base_CRM[[#This Row],[Cidade]]&amp;"/"&amp;Base_CRM[[#This Row],[Estado]]</f>
        <v>RIO DE JANEIRO/</v>
      </c>
      <c r="O611" s="12">
        <f>IFERROR(IF(Base_CRM[[#This Row],[PL Tailor]]&gt;Base_CRM[[#This Row],[PL Declarado]],1,Base_CRM[[#This Row],[PL Tailor]]/Base_CRM[[#This Row],[PL Declarado]]),0)</f>
        <v>2.0828633333333332E-2</v>
      </c>
      <c r="P611" s="11" t="str">
        <f>IF(Base_CRM[[#This Row],[Estado Civil]]="","PESSOA JURÍDICA","PESSOA FÍSICA")</f>
        <v>PESSOA FÍSICA</v>
      </c>
      <c r="Q611" t="str">
        <f>_xlfn.XLOOKUP(Base_CRM[[#This Row],[Cód do Cliente]],'[1]F &amp; O'!$A:$A,'[1]F &amp; O'!$F:$F,_xlfn.XLOOKUP(Base_CRM[[#This Row],[Assessor]],[1]DePara!$A:$A,[1]DePara!$D:$D,"Outros",0,1),0,1)</f>
        <v>Thayane Freitas</v>
      </c>
      <c r="R611" s="11" t="str">
        <f>_xlfn.XLOOKUP(Base_CRM[[#This Row],[Cód do Cliente]],'[1]F &amp; O'!$A:$A,'[1]F &amp; O'!D:D,"Sem Finder",0,1)</f>
        <v>Sem Finder</v>
      </c>
      <c r="S611" s="11" t="str">
        <f>_xlfn.XLOOKUP(Base_CRM[[#This Row],[Cód do Cliente]],'[1]F &amp; O'!$A:$A,'[1]F &amp; O'!E:E,"Sem Canal",0,1)</f>
        <v>Sem Canal</v>
      </c>
      <c r="T611" s="11" t="str">
        <f t="shared" si="9"/>
        <v>Cliente XP</v>
      </c>
    </row>
    <row r="612" spans="1:20" x14ac:dyDescent="0.3">
      <c r="A612">
        <v>9636717</v>
      </c>
      <c r="B612" s="8" t="s">
        <v>629</v>
      </c>
      <c r="C612" s="9" t="s">
        <v>39</v>
      </c>
      <c r="D612" s="8">
        <v>179548.98</v>
      </c>
      <c r="E612">
        <v>1100000</v>
      </c>
      <c r="F612" t="s">
        <v>22</v>
      </c>
      <c r="G612" t="s">
        <v>52</v>
      </c>
      <c r="H612" s="10">
        <v>33730</v>
      </c>
      <c r="I612" s="10" t="s">
        <v>31</v>
      </c>
      <c r="K612" t="s">
        <v>25</v>
      </c>
      <c r="L612" t="s">
        <v>630</v>
      </c>
      <c r="N612" s="11" t="str">
        <f>Base_CRM[[#This Row],[Cidade]]&amp;"/"&amp;Base_CRM[[#This Row],[Estado]]</f>
        <v>SAO PAULO/</v>
      </c>
      <c r="O612" s="12">
        <f>IFERROR(IF(Base_CRM[[#This Row],[PL Tailor]]&gt;Base_CRM[[#This Row],[PL Declarado]],1,Base_CRM[[#This Row],[PL Tailor]]/Base_CRM[[#This Row],[PL Declarado]]),0)</f>
        <v>0.16322634545454545</v>
      </c>
      <c r="P612" s="11" t="str">
        <f>IF(Base_CRM[[#This Row],[Estado Civil]]="","PESSOA JURÍDICA","PESSOA FÍSICA")</f>
        <v>PESSOA FÍSICA</v>
      </c>
      <c r="Q612" t="str">
        <f>_xlfn.XLOOKUP(Base_CRM[[#This Row],[Cód do Cliente]],'[1]F &amp; O'!$A:$A,'[1]F &amp; O'!$F:$F,_xlfn.XLOOKUP(Base_CRM[[#This Row],[Assessor]],[1]DePara!$A:$A,[1]DePara!$D:$D,"Outros",0,1),0,1)</f>
        <v>Gestora</v>
      </c>
      <c r="R612" s="11" t="str">
        <f>_xlfn.XLOOKUP(Base_CRM[[#This Row],[Cód do Cliente]],'[1]F &amp; O'!$A:$A,'[1]F &amp; O'!D:D,"Sem Finder",0,1)</f>
        <v>Sem Finder</v>
      </c>
      <c r="S612" s="11" t="str">
        <f>_xlfn.XLOOKUP(Base_CRM[[#This Row],[Cód do Cliente]],'[1]F &amp; O'!$A:$A,'[1]F &amp; O'!E:E,"Sem Canal",0,1)</f>
        <v>Gestora</v>
      </c>
      <c r="T612" s="11" t="str">
        <f t="shared" si="9"/>
        <v>Cliente XP</v>
      </c>
    </row>
    <row r="613" spans="1:20" x14ac:dyDescent="0.3">
      <c r="A613">
        <v>9647856</v>
      </c>
      <c r="B613" s="8" t="s">
        <v>1365</v>
      </c>
      <c r="C613" s="9" t="s">
        <v>21</v>
      </c>
      <c r="D613" s="8">
        <v>18531.86</v>
      </c>
      <c r="E613">
        <v>750000</v>
      </c>
      <c r="F613" t="s">
        <v>29</v>
      </c>
      <c r="G613" t="s">
        <v>334</v>
      </c>
      <c r="H613" s="10">
        <v>17012</v>
      </c>
      <c r="I613" s="10" t="s">
        <v>24</v>
      </c>
      <c r="K613" t="s">
        <v>25</v>
      </c>
      <c r="L613" t="s">
        <v>1366</v>
      </c>
      <c r="N613" s="11" t="str">
        <f>Base_CRM[[#This Row],[Cidade]]&amp;"/"&amp;Base_CRM[[#This Row],[Estado]]</f>
        <v>RIO DE JANEIRO/</v>
      </c>
      <c r="O613" s="12">
        <f>IFERROR(IF(Base_CRM[[#This Row],[PL Tailor]]&gt;Base_CRM[[#This Row],[PL Declarado]],1,Base_CRM[[#This Row],[PL Tailor]]/Base_CRM[[#This Row],[PL Declarado]]),0)</f>
        <v>2.4709146666666668E-2</v>
      </c>
      <c r="P613" s="11" t="str">
        <f>IF(Base_CRM[[#This Row],[Estado Civil]]="","PESSOA JURÍDICA","PESSOA FÍSICA")</f>
        <v>PESSOA FÍSICA</v>
      </c>
      <c r="Q613" t="str">
        <f>_xlfn.XLOOKUP(Base_CRM[[#This Row],[Cód do Cliente]],'[1]F &amp; O'!$A:$A,'[1]F &amp; O'!$F:$F,_xlfn.XLOOKUP(Base_CRM[[#This Row],[Assessor]],[1]DePara!$A:$A,[1]DePara!$D:$D,"Outros",0,1),0,1)</f>
        <v>Leonardo Burle</v>
      </c>
      <c r="R613" s="11" t="str">
        <f>_xlfn.XLOOKUP(Base_CRM[[#This Row],[Cód do Cliente]],'[1]F &amp; O'!$A:$A,'[1]F &amp; O'!D:D,"Sem Finder",0,1)</f>
        <v>Sem Finder</v>
      </c>
      <c r="S613" s="11" t="str">
        <f>_xlfn.XLOOKUP(Base_CRM[[#This Row],[Cód do Cliente]],'[1]F &amp; O'!$A:$A,'[1]F &amp; O'!E:E,"Sem Canal",0,1)</f>
        <v>Sem Canal</v>
      </c>
      <c r="T613" s="11" t="str">
        <f t="shared" si="9"/>
        <v>Cliente XP</v>
      </c>
    </row>
    <row r="614" spans="1:20" x14ac:dyDescent="0.3">
      <c r="A614">
        <v>9647926</v>
      </c>
      <c r="B614" s="8" t="s">
        <v>1367</v>
      </c>
      <c r="C614" s="9" t="s">
        <v>74</v>
      </c>
      <c r="D614" s="8">
        <v>0</v>
      </c>
      <c r="E614">
        <v>20000</v>
      </c>
      <c r="F614" t="s">
        <v>92</v>
      </c>
      <c r="G614" t="s">
        <v>71</v>
      </c>
      <c r="H614" s="10">
        <v>31436</v>
      </c>
      <c r="I614" s="10" t="s">
        <v>24</v>
      </c>
      <c r="K614" t="s">
        <v>25</v>
      </c>
      <c r="L614" t="s">
        <v>1368</v>
      </c>
      <c r="N614" s="11" t="str">
        <f>Base_CRM[[#This Row],[Cidade]]&amp;"/"&amp;Base_CRM[[#This Row],[Estado]]</f>
        <v>RIO DE JANEIRO/</v>
      </c>
      <c r="O614" s="12">
        <f>IFERROR(IF(Base_CRM[[#This Row],[PL Tailor]]&gt;Base_CRM[[#This Row],[PL Declarado]],1,Base_CRM[[#This Row],[PL Tailor]]/Base_CRM[[#This Row],[PL Declarado]]),0)</f>
        <v>0</v>
      </c>
      <c r="P614" s="11" t="str">
        <f>IF(Base_CRM[[#This Row],[Estado Civil]]="","PESSOA JURÍDICA","PESSOA FÍSICA")</f>
        <v>PESSOA FÍSICA</v>
      </c>
      <c r="Q614" t="str">
        <f>_xlfn.XLOOKUP(Base_CRM[[#This Row],[Cód do Cliente]],'[1]F &amp; O'!$A:$A,'[1]F &amp; O'!$F:$F,_xlfn.XLOOKUP(Base_CRM[[#This Row],[Assessor]],[1]DePara!$A:$A,[1]DePara!$D:$D,"Outros",0,1),0,1)</f>
        <v>Thayane Freitas</v>
      </c>
      <c r="R614" s="11" t="str">
        <f>_xlfn.XLOOKUP(Base_CRM[[#This Row],[Cód do Cliente]],'[1]F &amp; O'!$A:$A,'[1]F &amp; O'!D:D,"Sem Finder",0,1)</f>
        <v>Sem Finder</v>
      </c>
      <c r="S614" s="11" t="str">
        <f>_xlfn.XLOOKUP(Base_CRM[[#This Row],[Cód do Cliente]],'[1]F &amp; O'!$A:$A,'[1]F &amp; O'!E:E,"Sem Canal",0,1)</f>
        <v>Sem Canal</v>
      </c>
      <c r="T614" s="11" t="str">
        <f t="shared" si="9"/>
        <v>Cliente XP</v>
      </c>
    </row>
    <row r="615" spans="1:20" x14ac:dyDescent="0.3">
      <c r="A615">
        <v>9664877</v>
      </c>
      <c r="B615" s="8" t="s">
        <v>1369</v>
      </c>
      <c r="C615" s="9" t="s">
        <v>74</v>
      </c>
      <c r="D615" s="8">
        <v>0</v>
      </c>
      <c r="E615">
        <v>600000</v>
      </c>
      <c r="F615" t="s">
        <v>40</v>
      </c>
      <c r="G615" t="s">
        <v>87</v>
      </c>
      <c r="H615" s="10">
        <v>19738</v>
      </c>
      <c r="I615" s="10" t="s">
        <v>24</v>
      </c>
      <c r="K615" t="s">
        <v>88</v>
      </c>
      <c r="L615" t="s">
        <v>1370</v>
      </c>
      <c r="N615" s="11" t="str">
        <f>Base_CRM[[#This Row],[Cidade]]&amp;"/"&amp;Base_CRM[[#This Row],[Estado]]</f>
        <v>RIO DE JANEIRO/</v>
      </c>
      <c r="O615" s="12">
        <f>IFERROR(IF(Base_CRM[[#This Row],[PL Tailor]]&gt;Base_CRM[[#This Row],[PL Declarado]],1,Base_CRM[[#This Row],[PL Tailor]]/Base_CRM[[#This Row],[PL Declarado]]),0)</f>
        <v>0</v>
      </c>
      <c r="P615" s="11" t="str">
        <f>IF(Base_CRM[[#This Row],[Estado Civil]]="","PESSOA JURÍDICA","PESSOA FÍSICA")</f>
        <v>PESSOA FÍSICA</v>
      </c>
      <c r="Q615" t="str">
        <f>_xlfn.XLOOKUP(Base_CRM[[#This Row],[Cód do Cliente]],'[1]F &amp; O'!$A:$A,'[1]F &amp; O'!$F:$F,_xlfn.XLOOKUP(Base_CRM[[#This Row],[Assessor]],[1]DePara!$A:$A,[1]DePara!$D:$D,"Outros",0,1),0,1)</f>
        <v>Thayane Freitas</v>
      </c>
      <c r="R615" s="11" t="str">
        <f>_xlfn.XLOOKUP(Base_CRM[[#This Row],[Cód do Cliente]],'[1]F &amp; O'!$A:$A,'[1]F &amp; O'!D:D,"Sem Finder",0,1)</f>
        <v>Sem Finder</v>
      </c>
      <c r="S615" s="11" t="str">
        <f>_xlfn.XLOOKUP(Base_CRM[[#This Row],[Cód do Cliente]],'[1]F &amp; O'!$A:$A,'[1]F &amp; O'!E:E,"Sem Canal",0,1)</f>
        <v>Sem Canal</v>
      </c>
      <c r="T615" s="11" t="str">
        <f t="shared" si="9"/>
        <v>Cliente XP</v>
      </c>
    </row>
    <row r="616" spans="1:20" x14ac:dyDescent="0.3">
      <c r="A616">
        <v>9756664</v>
      </c>
      <c r="B616" s="8" t="s">
        <v>1371</v>
      </c>
      <c r="C616" s="9" t="s">
        <v>39</v>
      </c>
      <c r="D616" s="8">
        <v>481027.37</v>
      </c>
      <c r="E616">
        <v>1000000</v>
      </c>
      <c r="F616" t="s">
        <v>22</v>
      </c>
      <c r="G616" t="s">
        <v>35</v>
      </c>
      <c r="H616" s="10">
        <v>32807</v>
      </c>
      <c r="I616" s="10" t="s">
        <v>349</v>
      </c>
      <c r="K616" t="s">
        <v>42</v>
      </c>
      <c r="L616" t="s">
        <v>1372</v>
      </c>
      <c r="N616" s="11" t="str">
        <f>Base_CRM[[#This Row],[Cidade]]&amp;"/"&amp;Base_CRM[[#This Row],[Estado]]</f>
        <v>São Paulo/</v>
      </c>
      <c r="O616" s="12">
        <f>IFERROR(IF(Base_CRM[[#This Row],[PL Tailor]]&gt;Base_CRM[[#This Row],[PL Declarado]],1,Base_CRM[[#This Row],[PL Tailor]]/Base_CRM[[#This Row],[PL Declarado]]),0)</f>
        <v>0.48102737000000001</v>
      </c>
      <c r="P616" s="11" t="str">
        <f>IF(Base_CRM[[#This Row],[Estado Civil]]="","PESSOA JURÍDICA","PESSOA FÍSICA")</f>
        <v>PESSOA FÍSICA</v>
      </c>
      <c r="Q616" t="str">
        <f>_xlfn.XLOOKUP(Base_CRM[[#This Row],[Cód do Cliente]],'[1]F &amp; O'!$A:$A,'[1]F &amp; O'!$F:$F,_xlfn.XLOOKUP(Base_CRM[[#This Row],[Assessor]],[1]DePara!$A:$A,[1]DePara!$D:$D,"Outros",0,1),0,1)</f>
        <v>Gestora</v>
      </c>
      <c r="R616" s="11" t="str">
        <f>_xlfn.XLOOKUP(Base_CRM[[#This Row],[Cód do Cliente]],'[1]F &amp; O'!$A:$A,'[1]F &amp; O'!D:D,"Sem Finder",0,1)</f>
        <v>Pedro Chagas</v>
      </c>
      <c r="S616" s="11" t="str">
        <f>_xlfn.XLOOKUP(Base_CRM[[#This Row],[Cód do Cliente]],'[1]F &amp; O'!$A:$A,'[1]F &amp; O'!E:E,"Sem Canal",0,1)</f>
        <v>Gestora</v>
      </c>
      <c r="T616" s="11" t="str">
        <f t="shared" si="9"/>
        <v>Cliente XP</v>
      </c>
    </row>
    <row r="617" spans="1:20" x14ac:dyDescent="0.3">
      <c r="A617">
        <v>9791286</v>
      </c>
      <c r="B617" s="8" t="s">
        <v>1373</v>
      </c>
      <c r="C617" s="9" t="s">
        <v>39</v>
      </c>
      <c r="D617" s="8">
        <v>741697.49</v>
      </c>
      <c r="E617">
        <v>1000000</v>
      </c>
      <c r="F617" t="s">
        <v>29</v>
      </c>
      <c r="G617" t="s">
        <v>45</v>
      </c>
      <c r="H617" s="10">
        <v>36392</v>
      </c>
      <c r="I617" s="10" t="s">
        <v>31</v>
      </c>
      <c r="K617" t="s">
        <v>25</v>
      </c>
      <c r="L617" t="s">
        <v>1374</v>
      </c>
      <c r="N617" s="11" t="str">
        <f>Base_CRM[[#This Row],[Cidade]]&amp;"/"&amp;Base_CRM[[#This Row],[Estado]]</f>
        <v>SAO PAULO/</v>
      </c>
      <c r="O617" s="12">
        <f>IFERROR(IF(Base_CRM[[#This Row],[PL Tailor]]&gt;Base_CRM[[#This Row],[PL Declarado]],1,Base_CRM[[#This Row],[PL Tailor]]/Base_CRM[[#This Row],[PL Declarado]]),0)</f>
        <v>0.74169748999999996</v>
      </c>
      <c r="P617" s="11" t="str">
        <f>IF(Base_CRM[[#This Row],[Estado Civil]]="","PESSOA JURÍDICA","PESSOA FÍSICA")</f>
        <v>PESSOA FÍSICA</v>
      </c>
      <c r="Q617" t="str">
        <f>_xlfn.XLOOKUP(Base_CRM[[#This Row],[Cód do Cliente]],'[1]F &amp; O'!$A:$A,'[1]F &amp; O'!$F:$F,_xlfn.XLOOKUP(Base_CRM[[#This Row],[Assessor]],[1]DePara!$A:$A,[1]DePara!$D:$D,"Outros",0,1),0,1)</f>
        <v>Gestora</v>
      </c>
      <c r="R617" s="11" t="str">
        <f>_xlfn.XLOOKUP(Base_CRM[[#This Row],[Cód do Cliente]],'[1]F &amp; O'!$A:$A,'[1]F &amp; O'!D:D,"Sem Finder",0,1)</f>
        <v>Pedro Chagas</v>
      </c>
      <c r="S617" s="11" t="str">
        <f>_xlfn.XLOOKUP(Base_CRM[[#This Row],[Cód do Cliente]],'[1]F &amp; O'!$A:$A,'[1]F &amp; O'!E:E,"Sem Canal",0,1)</f>
        <v>Gestora</v>
      </c>
      <c r="T617" s="11" t="str">
        <f t="shared" si="9"/>
        <v>Cliente XP</v>
      </c>
    </row>
    <row r="618" spans="1:20" x14ac:dyDescent="0.3">
      <c r="A618">
        <v>9830819</v>
      </c>
      <c r="B618" s="8" t="s">
        <v>1375</v>
      </c>
      <c r="C618" s="9" t="s">
        <v>74</v>
      </c>
      <c r="D618" s="8">
        <v>87933.13</v>
      </c>
      <c r="E618">
        <v>10000</v>
      </c>
      <c r="F618" t="s">
        <v>22</v>
      </c>
      <c r="G618" t="s">
        <v>30</v>
      </c>
      <c r="H618" s="10">
        <v>33339</v>
      </c>
      <c r="I618" s="10" t="s">
        <v>24</v>
      </c>
      <c r="K618" t="s">
        <v>25</v>
      </c>
      <c r="L618" t="s">
        <v>1376</v>
      </c>
      <c r="N618" s="11" t="str">
        <f>Base_CRM[[#This Row],[Cidade]]&amp;"/"&amp;Base_CRM[[#This Row],[Estado]]</f>
        <v>RIO DE JANEIRO/</v>
      </c>
      <c r="O618" s="12">
        <f>IFERROR(IF(Base_CRM[[#This Row],[PL Tailor]]&gt;Base_CRM[[#This Row],[PL Declarado]],1,Base_CRM[[#This Row],[PL Tailor]]/Base_CRM[[#This Row],[PL Declarado]]),0)</f>
        <v>1</v>
      </c>
      <c r="P618" s="11" t="str">
        <f>IF(Base_CRM[[#This Row],[Estado Civil]]="","PESSOA JURÍDICA","PESSOA FÍSICA")</f>
        <v>PESSOA FÍSICA</v>
      </c>
      <c r="Q618" t="str">
        <f>_xlfn.XLOOKUP(Base_CRM[[#This Row],[Cód do Cliente]],'[1]F &amp; O'!$A:$A,'[1]F &amp; O'!$F:$F,_xlfn.XLOOKUP(Base_CRM[[#This Row],[Assessor]],[1]DePara!$A:$A,[1]DePara!$D:$D,"Outros",0,1),0,1)</f>
        <v>Thayane Freitas</v>
      </c>
      <c r="R618" s="11" t="str">
        <f>_xlfn.XLOOKUP(Base_CRM[[#This Row],[Cód do Cliente]],'[1]F &amp; O'!$A:$A,'[1]F &amp; O'!D:D,"Sem Finder",0,1)</f>
        <v>Sem Finder</v>
      </c>
      <c r="S618" s="11" t="str">
        <f>_xlfn.XLOOKUP(Base_CRM[[#This Row],[Cód do Cliente]],'[1]F &amp; O'!$A:$A,'[1]F &amp; O'!E:E,"Sem Canal",0,1)</f>
        <v>Sem Canal</v>
      </c>
      <c r="T618" s="11" t="str">
        <f t="shared" si="9"/>
        <v>Cliente XP</v>
      </c>
    </row>
    <row r="619" spans="1:20" x14ac:dyDescent="0.3">
      <c r="A619">
        <v>9853159</v>
      </c>
      <c r="B619" s="8" t="s">
        <v>659</v>
      </c>
      <c r="C619" s="9" t="s">
        <v>39</v>
      </c>
      <c r="D619" s="8">
        <v>340.32</v>
      </c>
      <c r="E619">
        <v>1003000</v>
      </c>
      <c r="F619" t="s">
        <v>22</v>
      </c>
      <c r="G619" t="s">
        <v>35</v>
      </c>
      <c r="H619" s="10">
        <v>34781</v>
      </c>
      <c r="I619" s="10" t="s">
        <v>349</v>
      </c>
      <c r="K619" t="s">
        <v>25</v>
      </c>
      <c r="L619" t="s">
        <v>660</v>
      </c>
      <c r="M619" t="s">
        <v>711</v>
      </c>
      <c r="N619" s="11" t="str">
        <f>Base_CRM[[#This Row],[Cidade]]&amp;"/"&amp;Base_CRM[[#This Row],[Estado]]</f>
        <v>São Paulo/</v>
      </c>
      <c r="O619" s="12">
        <f>IFERROR(IF(Base_CRM[[#This Row],[PL Tailor]]&gt;Base_CRM[[#This Row],[PL Declarado]],1,Base_CRM[[#This Row],[PL Tailor]]/Base_CRM[[#This Row],[PL Declarado]]),0)</f>
        <v>3.3930209371884349E-4</v>
      </c>
      <c r="P619" s="11" t="str">
        <f>IF(Base_CRM[[#This Row],[Estado Civil]]="","PESSOA JURÍDICA","PESSOA FÍSICA")</f>
        <v>PESSOA FÍSICA</v>
      </c>
      <c r="Q619" t="str">
        <f>_xlfn.XLOOKUP(Base_CRM[[#This Row],[Cód do Cliente]],'[1]F &amp; O'!$A:$A,'[1]F &amp; O'!$F:$F,_xlfn.XLOOKUP(Base_CRM[[#This Row],[Assessor]],[1]DePara!$A:$A,[1]DePara!$D:$D,"Outros",0,1),0,1)</f>
        <v>Gestora</v>
      </c>
      <c r="R619" s="11" t="str">
        <f>_xlfn.XLOOKUP(Base_CRM[[#This Row],[Cód do Cliente]],'[1]F &amp; O'!$A:$A,'[1]F &amp; O'!D:D,"Sem Finder",0,1)</f>
        <v>Sem Finder</v>
      </c>
      <c r="S619" s="11" t="str">
        <f>_xlfn.XLOOKUP(Base_CRM[[#This Row],[Cód do Cliente]],'[1]F &amp; O'!$A:$A,'[1]F &amp; O'!E:E,"Sem Canal",0,1)</f>
        <v>Gestora</v>
      </c>
      <c r="T619" s="11" t="str">
        <f t="shared" si="9"/>
        <v>Cliente XP</v>
      </c>
    </row>
    <row r="620" spans="1:20" x14ac:dyDescent="0.3">
      <c r="A620">
        <v>9860553</v>
      </c>
      <c r="B620" s="8" t="s">
        <v>1377</v>
      </c>
      <c r="C620" s="9" t="s">
        <v>74</v>
      </c>
      <c r="D620" s="8">
        <v>70494.83</v>
      </c>
      <c r="E620">
        <v>100</v>
      </c>
      <c r="F620" t="s">
        <v>29</v>
      </c>
      <c r="G620" t="s">
        <v>45</v>
      </c>
      <c r="H620" s="10">
        <v>37736</v>
      </c>
      <c r="I620" s="10" t="s">
        <v>584</v>
      </c>
      <c r="K620" t="s">
        <v>25</v>
      </c>
      <c r="L620" t="s">
        <v>1378</v>
      </c>
      <c r="M620" t="s">
        <v>90</v>
      </c>
      <c r="N620" s="11" t="str">
        <f>Base_CRM[[#This Row],[Cidade]]&amp;"/"&amp;Base_CRM[[#This Row],[Estado]]</f>
        <v>NOVA FRIBURGO/</v>
      </c>
      <c r="O620" s="12">
        <f>IFERROR(IF(Base_CRM[[#This Row],[PL Tailor]]&gt;Base_CRM[[#This Row],[PL Declarado]],1,Base_CRM[[#This Row],[PL Tailor]]/Base_CRM[[#This Row],[PL Declarado]]),0)</f>
        <v>1</v>
      </c>
      <c r="P620" s="11" t="str">
        <f>IF(Base_CRM[[#This Row],[Estado Civil]]="","PESSOA JURÍDICA","PESSOA FÍSICA")</f>
        <v>PESSOA FÍSICA</v>
      </c>
      <c r="Q620" t="str">
        <f>_xlfn.XLOOKUP(Base_CRM[[#This Row],[Cód do Cliente]],'[1]F &amp; O'!$A:$A,'[1]F &amp; O'!$F:$F,_xlfn.XLOOKUP(Base_CRM[[#This Row],[Assessor]],[1]DePara!$A:$A,[1]DePara!$D:$D,"Outros",0,1),0,1)</f>
        <v>Thayane Freitas</v>
      </c>
      <c r="R620" s="11" t="str">
        <f>_xlfn.XLOOKUP(Base_CRM[[#This Row],[Cód do Cliente]],'[1]F &amp; O'!$A:$A,'[1]F &amp; O'!D:D,"Sem Finder",0,1)</f>
        <v>Sem Finder</v>
      </c>
      <c r="S620" s="11" t="str">
        <f>_xlfn.XLOOKUP(Base_CRM[[#This Row],[Cód do Cliente]],'[1]F &amp; O'!$A:$A,'[1]F &amp; O'!E:E,"Sem Canal",0,1)</f>
        <v>Sem Canal</v>
      </c>
      <c r="T620" s="11" t="str">
        <f t="shared" si="9"/>
        <v>Cliente XP</v>
      </c>
    </row>
    <row r="621" spans="1:20" x14ac:dyDescent="0.3">
      <c r="A621">
        <v>9964111</v>
      </c>
      <c r="B621" s="8" t="s">
        <v>1379</v>
      </c>
      <c r="C621" s="9" t="s">
        <v>21</v>
      </c>
      <c r="D621" s="8">
        <v>2849960.16</v>
      </c>
      <c r="E621">
        <v>2700000</v>
      </c>
      <c r="F621" t="s">
        <v>22</v>
      </c>
      <c r="G621" t="s">
        <v>551</v>
      </c>
      <c r="H621" s="10">
        <v>29770</v>
      </c>
      <c r="I621" s="10" t="s">
        <v>24</v>
      </c>
      <c r="K621" t="s">
        <v>88</v>
      </c>
      <c r="L621" t="s">
        <v>1380</v>
      </c>
      <c r="M621" t="s">
        <v>64</v>
      </c>
      <c r="N621" s="11" t="str">
        <f>Base_CRM[[#This Row],[Cidade]]&amp;"/"&amp;Base_CRM[[#This Row],[Estado]]</f>
        <v>RIO DE JANEIRO/</v>
      </c>
      <c r="O621" s="12">
        <f>IFERROR(IF(Base_CRM[[#This Row],[PL Tailor]]&gt;Base_CRM[[#This Row],[PL Declarado]],1,Base_CRM[[#This Row],[PL Tailor]]/Base_CRM[[#This Row],[PL Declarado]]),0)</f>
        <v>1</v>
      </c>
      <c r="P621" s="11" t="str">
        <f>IF(Base_CRM[[#This Row],[Estado Civil]]="","PESSOA JURÍDICA","PESSOA FÍSICA")</f>
        <v>PESSOA FÍSICA</v>
      </c>
      <c r="Q621" t="str">
        <f>_xlfn.XLOOKUP(Base_CRM[[#This Row],[Cód do Cliente]],'[1]F &amp; O'!$A:$A,'[1]F &amp; O'!$F:$F,_xlfn.XLOOKUP(Base_CRM[[#This Row],[Assessor]],[1]DePara!$A:$A,[1]DePara!$D:$D,"Outros",0,1),0,1)</f>
        <v>Leonardo Burle</v>
      </c>
      <c r="R621" s="11" t="str">
        <f>_xlfn.XLOOKUP(Base_CRM[[#This Row],[Cód do Cliente]],'[1]F &amp; O'!$A:$A,'[1]F &amp; O'!D:D,"Sem Finder",0,1)</f>
        <v>Sem Finder</v>
      </c>
      <c r="S621" s="11" t="str">
        <f>_xlfn.XLOOKUP(Base_CRM[[#This Row],[Cód do Cliente]],'[1]F &amp; O'!$A:$A,'[1]F &amp; O'!E:E,"Sem Canal",0,1)</f>
        <v>Sem Canal</v>
      </c>
      <c r="T621" s="11" t="str">
        <f t="shared" si="9"/>
        <v>Cliente XP</v>
      </c>
    </row>
    <row r="622" spans="1:20" x14ac:dyDescent="0.3">
      <c r="A622">
        <v>11644267</v>
      </c>
      <c r="B622" s="8" t="s">
        <v>1381</v>
      </c>
      <c r="C622" s="9" t="s">
        <v>74</v>
      </c>
      <c r="D622" s="8">
        <v>0</v>
      </c>
      <c r="F622" t="s">
        <v>29</v>
      </c>
      <c r="G622" t="s">
        <v>1382</v>
      </c>
      <c r="H622" s="10"/>
      <c r="I622" s="10" t="s">
        <v>944</v>
      </c>
      <c r="J622" t="s">
        <v>1383</v>
      </c>
      <c r="L622" t="s">
        <v>1384</v>
      </c>
      <c r="N622" s="11" t="str">
        <f>Base_CRM[[#This Row],[Cidade]]&amp;"/"&amp;Base_CRM[[#This Row],[Estado]]</f>
        <v>RIO GRANDE/RS</v>
      </c>
      <c r="O622" s="12">
        <f>IFERROR(IF(Base_CRM[[#This Row],[PL Tailor]]&gt;Base_CRM[[#This Row],[PL Declarado]],1,Base_CRM[[#This Row],[PL Tailor]]/Base_CRM[[#This Row],[PL Declarado]]),0)</f>
        <v>0</v>
      </c>
      <c r="P622" s="11" t="str">
        <f>IF(Base_CRM[[#This Row],[Estado Civil]]="","PESSOA JURÍDICA","PESSOA FÍSICA")</f>
        <v>PESSOA JURÍDICA</v>
      </c>
      <c r="Q622" t="str">
        <f>_xlfn.XLOOKUP(Base_CRM[[#This Row],[Cód do Cliente]],'[1]F &amp; O'!$A:$A,'[1]F &amp; O'!$F:$F,_xlfn.XLOOKUP(Base_CRM[[#This Row],[Assessor]],[1]DePara!$A:$A,[1]DePara!$D:$D,"Outros",0,1),0,1)</f>
        <v>Thayane Freitas</v>
      </c>
      <c r="R622" s="11" t="str">
        <f>_xlfn.XLOOKUP(Base_CRM[[#This Row],[Cód do Cliente]],'[1]F &amp; O'!$A:$A,'[1]F &amp; O'!D:D,"Sem Finder",0,1)</f>
        <v>Sem Finder</v>
      </c>
      <c r="S622" s="11" t="str">
        <f>_xlfn.XLOOKUP(Base_CRM[[#This Row],[Cód do Cliente]],'[1]F &amp; O'!$A:$A,'[1]F &amp; O'!E:E,"Sem Canal",0,1)</f>
        <v>Sem Canal</v>
      </c>
      <c r="T622" s="11" t="str">
        <f t="shared" si="9"/>
        <v>Cliente XP</v>
      </c>
    </row>
    <row r="623" spans="1:20" x14ac:dyDescent="0.3">
      <c r="A623">
        <v>16723592</v>
      </c>
      <c r="B623" s="8" t="s">
        <v>1385</v>
      </c>
      <c r="C623" s="9" t="s">
        <v>21</v>
      </c>
      <c r="D623" s="8">
        <v>30.62</v>
      </c>
      <c r="G623" t="s">
        <v>1386</v>
      </c>
      <c r="H623" s="10"/>
      <c r="I623" s="10" t="s">
        <v>24</v>
      </c>
      <c r="J623" t="s">
        <v>1387</v>
      </c>
      <c r="L623" t="s">
        <v>1388</v>
      </c>
      <c r="N623" s="11" t="str">
        <f>Base_CRM[[#This Row],[Cidade]]&amp;"/"&amp;Base_CRM[[#This Row],[Estado]]</f>
        <v>RIO DE JANEIRO/RJ</v>
      </c>
      <c r="O623" s="12">
        <f>IFERROR(IF(Base_CRM[[#This Row],[PL Tailor]]&gt;Base_CRM[[#This Row],[PL Declarado]],1,Base_CRM[[#This Row],[PL Tailor]]/Base_CRM[[#This Row],[PL Declarado]]),0)</f>
        <v>1</v>
      </c>
      <c r="P623" s="11" t="str">
        <f>IF(Base_CRM[[#This Row],[Estado Civil]]="","PESSOA JURÍDICA","PESSOA FÍSICA")</f>
        <v>PESSOA JURÍDICA</v>
      </c>
      <c r="Q623" t="str">
        <f>_xlfn.XLOOKUP(Base_CRM[[#This Row],[Cód do Cliente]],'[1]F &amp; O'!$A:$A,'[1]F &amp; O'!$F:$F,_xlfn.XLOOKUP(Base_CRM[[#This Row],[Assessor]],[1]DePara!$A:$A,[1]DePara!$D:$D,"Outros",0,1),0,1)</f>
        <v>Leonardo Burle</v>
      </c>
      <c r="R623" s="11" t="str">
        <f>_xlfn.XLOOKUP(Base_CRM[[#This Row],[Cód do Cliente]],'[1]F &amp; O'!$A:$A,'[1]F &amp; O'!D:D,"Sem Finder",0,1)</f>
        <v>Sem Finder</v>
      </c>
      <c r="S623" s="11" t="str">
        <f>_xlfn.XLOOKUP(Base_CRM[[#This Row],[Cód do Cliente]],'[1]F &amp; O'!$A:$A,'[1]F &amp; O'!E:E,"Sem Canal",0,1)</f>
        <v>Sem Canal</v>
      </c>
      <c r="T623" s="11" t="str">
        <f t="shared" si="9"/>
        <v>Cliente XP</v>
      </c>
    </row>
    <row r="624" spans="1:20" x14ac:dyDescent="0.3">
      <c r="A624">
        <v>18276208</v>
      </c>
      <c r="B624" s="8" t="s">
        <v>1389</v>
      </c>
      <c r="C624" s="9" t="s">
        <v>21</v>
      </c>
      <c r="D624" s="8">
        <v>0</v>
      </c>
      <c r="G624" t="s">
        <v>1390</v>
      </c>
      <c r="H624" s="10"/>
      <c r="I624" s="10" t="s">
        <v>24</v>
      </c>
      <c r="J624" t="s">
        <v>1387</v>
      </c>
      <c r="L624" t="s">
        <v>1391</v>
      </c>
      <c r="N624" s="11" t="str">
        <f>Base_CRM[[#This Row],[Cidade]]&amp;"/"&amp;Base_CRM[[#This Row],[Estado]]</f>
        <v>RIO DE JANEIRO/RJ</v>
      </c>
      <c r="O624" s="12">
        <f>IFERROR(IF(Base_CRM[[#This Row],[PL Tailor]]&gt;Base_CRM[[#This Row],[PL Declarado]],1,Base_CRM[[#This Row],[PL Tailor]]/Base_CRM[[#This Row],[PL Declarado]]),0)</f>
        <v>0</v>
      </c>
      <c r="P624" s="11" t="str">
        <f>IF(Base_CRM[[#This Row],[Estado Civil]]="","PESSOA JURÍDICA","PESSOA FÍSICA")</f>
        <v>PESSOA JURÍDICA</v>
      </c>
      <c r="Q624" t="str">
        <f>_xlfn.XLOOKUP(Base_CRM[[#This Row],[Cód do Cliente]],'[1]F &amp; O'!$A:$A,'[1]F &amp; O'!$F:$F,_xlfn.XLOOKUP(Base_CRM[[#This Row],[Assessor]],[1]DePara!$A:$A,[1]DePara!$D:$D,"Outros",0,1),0,1)</f>
        <v>Leonardo Burle</v>
      </c>
      <c r="R624" s="11" t="str">
        <f>_xlfn.XLOOKUP(Base_CRM[[#This Row],[Cód do Cliente]],'[1]F &amp; O'!$A:$A,'[1]F &amp; O'!D:D,"Sem Finder",0,1)</f>
        <v>Sem Finder</v>
      </c>
      <c r="S624" s="11" t="str">
        <f>_xlfn.XLOOKUP(Base_CRM[[#This Row],[Cód do Cliente]],'[1]F &amp; O'!$A:$A,'[1]F &amp; O'!E:E,"Sem Canal",0,1)</f>
        <v>Sem Canal</v>
      </c>
      <c r="T624" s="11" t="str">
        <f t="shared" si="9"/>
        <v>Cliente XP</v>
      </c>
    </row>
    <row r="625" spans="1:20" x14ac:dyDescent="0.3">
      <c r="A625">
        <v>7554877</v>
      </c>
      <c r="B625" s="8" t="s">
        <v>1392</v>
      </c>
      <c r="C625" s="9" t="s">
        <v>21</v>
      </c>
      <c r="D625" s="8">
        <v>16273.09</v>
      </c>
      <c r="F625" t="s">
        <v>29</v>
      </c>
      <c r="G625" t="s">
        <v>1390</v>
      </c>
      <c r="H625" s="10"/>
      <c r="I625" s="10" t="s">
        <v>24</v>
      </c>
      <c r="J625" t="s">
        <v>1387</v>
      </c>
      <c r="L625" t="s">
        <v>1393</v>
      </c>
      <c r="N625" s="11" t="str">
        <f>Base_CRM[[#This Row],[Cidade]]&amp;"/"&amp;Base_CRM[[#This Row],[Estado]]</f>
        <v>RIO DE JANEIRO/RJ</v>
      </c>
      <c r="O625" s="12">
        <f>IFERROR(IF(Base_CRM[[#This Row],[PL Tailor]]&gt;Base_CRM[[#This Row],[PL Declarado]],1,Base_CRM[[#This Row],[PL Tailor]]/Base_CRM[[#This Row],[PL Declarado]]),0)</f>
        <v>1</v>
      </c>
      <c r="P625" s="11" t="str">
        <f>IF(Base_CRM[[#This Row],[Estado Civil]]="","PESSOA JURÍDICA","PESSOA FÍSICA")</f>
        <v>PESSOA JURÍDICA</v>
      </c>
      <c r="Q625" t="str">
        <f>_xlfn.XLOOKUP(Base_CRM[[#This Row],[Cód do Cliente]],'[1]F &amp; O'!$A:$A,'[1]F &amp; O'!$F:$F,_xlfn.XLOOKUP(Base_CRM[[#This Row],[Assessor]],[1]DePara!$A:$A,[1]DePara!$D:$D,"Outros",0,1),0,1)</f>
        <v>Leonardo Burle</v>
      </c>
      <c r="R625" s="11" t="str">
        <f>_xlfn.XLOOKUP(Base_CRM[[#This Row],[Cód do Cliente]],'[1]F &amp; O'!$A:$A,'[1]F &amp; O'!D:D,"Sem Finder",0,1)</f>
        <v>Sem Finder</v>
      </c>
      <c r="S625" s="11" t="str">
        <f>_xlfn.XLOOKUP(Base_CRM[[#This Row],[Cód do Cliente]],'[1]F &amp; O'!$A:$A,'[1]F &amp; O'!E:E,"Sem Canal",0,1)</f>
        <v>Sem Canal</v>
      </c>
      <c r="T625" s="11" t="str">
        <f t="shared" si="9"/>
        <v>Cliente XP</v>
      </c>
    </row>
    <row r="626" spans="1:20" x14ac:dyDescent="0.3">
      <c r="A626">
        <v>417321</v>
      </c>
      <c r="B626" s="8" t="s">
        <v>1394</v>
      </c>
      <c r="C626" s="9" t="s">
        <v>48</v>
      </c>
      <c r="D626" s="8">
        <v>565479.1</v>
      </c>
      <c r="F626" t="s">
        <v>29</v>
      </c>
      <c r="G626" t="s">
        <v>1395</v>
      </c>
      <c r="H626" s="10"/>
      <c r="I626" s="10" t="s">
        <v>229</v>
      </c>
      <c r="J626" t="s">
        <v>1396</v>
      </c>
      <c r="L626" t="s">
        <v>1397</v>
      </c>
      <c r="N626" s="11" t="str">
        <f>Base_CRM[[#This Row],[Cidade]]&amp;"/"&amp;Base_CRM[[#This Row],[Estado]]</f>
        <v>CURITIBA/PR</v>
      </c>
      <c r="O626" s="12">
        <f>IFERROR(IF(Base_CRM[[#This Row],[PL Tailor]]&gt;Base_CRM[[#This Row],[PL Declarado]],1,Base_CRM[[#This Row],[PL Tailor]]/Base_CRM[[#This Row],[PL Declarado]]),0)</f>
        <v>1</v>
      </c>
      <c r="P626" s="11" t="str">
        <f>IF(Base_CRM[[#This Row],[Estado Civil]]="","PESSOA JURÍDICA","PESSOA FÍSICA")</f>
        <v>PESSOA JURÍDICA</v>
      </c>
      <c r="Q626" t="str">
        <f>_xlfn.XLOOKUP(Base_CRM[[#This Row],[Cód do Cliente]],'[1]F &amp; O'!$A:$A,'[1]F &amp; O'!$F:$F,_xlfn.XLOOKUP(Base_CRM[[#This Row],[Assessor]],[1]DePara!$A:$A,[1]DePara!$D:$D,"Outros",0,1),0,1)</f>
        <v>Raphael Farias</v>
      </c>
      <c r="R626" s="11" t="str">
        <f>_xlfn.XLOOKUP(Base_CRM[[#This Row],[Cód do Cliente]],'[1]F &amp; O'!$A:$A,'[1]F &amp; O'!D:D,"Sem Finder",0,1)</f>
        <v>Sem Finder</v>
      </c>
      <c r="S626" s="11" t="str">
        <f>_xlfn.XLOOKUP(Base_CRM[[#This Row],[Cód do Cliente]],'[1]F &amp; O'!$A:$A,'[1]F &amp; O'!E:E,"Sem Canal",0,1)</f>
        <v>Sem Canal</v>
      </c>
      <c r="T626" s="11" t="str">
        <f t="shared" si="9"/>
        <v>Cliente XP</v>
      </c>
    </row>
    <row r="627" spans="1:20" x14ac:dyDescent="0.3">
      <c r="A627">
        <v>4741330</v>
      </c>
      <c r="B627" s="8" t="s">
        <v>1398</v>
      </c>
      <c r="C627" s="9" t="s">
        <v>74</v>
      </c>
      <c r="D627" s="8">
        <v>0.01</v>
      </c>
      <c r="F627" t="s">
        <v>40</v>
      </c>
      <c r="G627" t="s">
        <v>1390</v>
      </c>
      <c r="H627" s="10"/>
      <c r="I627" s="10" t="s">
        <v>379</v>
      </c>
      <c r="J627" t="s">
        <v>1399</v>
      </c>
      <c r="L627" t="s">
        <v>1400</v>
      </c>
      <c r="N627" s="11" t="str">
        <f>Base_CRM[[#This Row],[Cidade]]&amp;"/"&amp;Base_CRM[[#This Row],[Estado]]</f>
        <v>Barueri/SP</v>
      </c>
      <c r="O627" s="12">
        <f>IFERROR(IF(Base_CRM[[#This Row],[PL Tailor]]&gt;Base_CRM[[#This Row],[PL Declarado]],1,Base_CRM[[#This Row],[PL Tailor]]/Base_CRM[[#This Row],[PL Declarado]]),0)</f>
        <v>1</v>
      </c>
      <c r="P627" s="11" t="str">
        <f>IF(Base_CRM[[#This Row],[Estado Civil]]="","PESSOA JURÍDICA","PESSOA FÍSICA")</f>
        <v>PESSOA JURÍDICA</v>
      </c>
      <c r="Q627" t="str">
        <f>_xlfn.XLOOKUP(Base_CRM[[#This Row],[Cód do Cliente]],'[1]F &amp; O'!$A:$A,'[1]F &amp; O'!$F:$F,_xlfn.XLOOKUP(Base_CRM[[#This Row],[Assessor]],[1]DePara!$A:$A,[1]DePara!$D:$D,"Outros",0,1),0,1)</f>
        <v>Thayane Freitas</v>
      </c>
      <c r="R627" s="11" t="str">
        <f>_xlfn.XLOOKUP(Base_CRM[[#This Row],[Cód do Cliente]],'[1]F &amp; O'!$A:$A,'[1]F &amp; O'!D:D,"Sem Finder",0,1)</f>
        <v>Sem Finder</v>
      </c>
      <c r="S627" s="11" t="str">
        <f>_xlfn.XLOOKUP(Base_CRM[[#This Row],[Cód do Cliente]],'[1]F &amp; O'!$A:$A,'[1]F &amp; O'!E:E,"Sem Canal",0,1)</f>
        <v>Sem Canal</v>
      </c>
      <c r="T627" s="11" t="str">
        <f t="shared" si="9"/>
        <v>Cliente XP</v>
      </c>
    </row>
    <row r="628" spans="1:20" x14ac:dyDescent="0.3">
      <c r="A628">
        <v>17193792</v>
      </c>
      <c r="B628" s="8" t="s">
        <v>1401</v>
      </c>
      <c r="C628" s="9" t="s">
        <v>39</v>
      </c>
      <c r="D628" s="8">
        <v>0</v>
      </c>
      <c r="F628" t="s">
        <v>22</v>
      </c>
      <c r="G628" t="s">
        <v>1390</v>
      </c>
      <c r="H628" s="10"/>
      <c r="I628" s="10" t="s">
        <v>31</v>
      </c>
      <c r="J628" t="s">
        <v>1399</v>
      </c>
      <c r="L628" t="s">
        <v>1402</v>
      </c>
      <c r="N628" s="11" t="str">
        <f>Base_CRM[[#This Row],[Cidade]]&amp;"/"&amp;Base_CRM[[#This Row],[Estado]]</f>
        <v>SAO PAULO/SP</v>
      </c>
      <c r="O628" s="12">
        <f>IFERROR(IF(Base_CRM[[#This Row],[PL Tailor]]&gt;Base_CRM[[#This Row],[PL Declarado]],1,Base_CRM[[#This Row],[PL Tailor]]/Base_CRM[[#This Row],[PL Declarado]]),0)</f>
        <v>0</v>
      </c>
      <c r="P628" s="11" t="str">
        <f>IF(Base_CRM[[#This Row],[Estado Civil]]="","PESSOA JURÍDICA","PESSOA FÍSICA")</f>
        <v>PESSOA JURÍDICA</v>
      </c>
      <c r="Q628" t="str">
        <f>_xlfn.XLOOKUP(Base_CRM[[#This Row],[Cód do Cliente]],'[1]F &amp; O'!$A:$A,'[1]F &amp; O'!$F:$F,_xlfn.XLOOKUP(Base_CRM[[#This Row],[Assessor]],[1]DePara!$A:$A,[1]DePara!$D:$D,"Outros",0,1),0,1)</f>
        <v>Gestora</v>
      </c>
      <c r="R628" s="11" t="str">
        <f>_xlfn.XLOOKUP(Base_CRM[[#This Row],[Cód do Cliente]],'[1]F &amp; O'!$A:$A,'[1]F &amp; O'!D:D,"Sem Finder",0,1)</f>
        <v>Sem Finder</v>
      </c>
      <c r="S628" s="11" t="str">
        <f>_xlfn.XLOOKUP(Base_CRM[[#This Row],[Cód do Cliente]],'[1]F &amp; O'!$A:$A,'[1]F &amp; O'!E:E,"Sem Canal",0,1)</f>
        <v>Gestora</v>
      </c>
      <c r="T628" s="11" t="str">
        <f t="shared" si="9"/>
        <v>Cliente XP</v>
      </c>
    </row>
    <row r="629" spans="1:20" x14ac:dyDescent="0.3">
      <c r="A629">
        <v>8511679</v>
      </c>
      <c r="B629" s="8" t="s">
        <v>1403</v>
      </c>
      <c r="C629" s="9" t="s">
        <v>21</v>
      </c>
      <c r="D629" s="8">
        <v>135676.22</v>
      </c>
      <c r="F629" t="s">
        <v>29</v>
      </c>
      <c r="G629" t="s">
        <v>1390</v>
      </c>
      <c r="H629" s="10"/>
      <c r="I629" s="10" t="s">
        <v>24</v>
      </c>
      <c r="J629" t="s">
        <v>1387</v>
      </c>
      <c r="L629" t="s">
        <v>1404</v>
      </c>
      <c r="N629" s="11" t="str">
        <f>Base_CRM[[#This Row],[Cidade]]&amp;"/"&amp;Base_CRM[[#This Row],[Estado]]</f>
        <v>RIO DE JANEIRO/RJ</v>
      </c>
      <c r="O629" s="12">
        <f>IFERROR(IF(Base_CRM[[#This Row],[PL Tailor]]&gt;Base_CRM[[#This Row],[PL Declarado]],1,Base_CRM[[#This Row],[PL Tailor]]/Base_CRM[[#This Row],[PL Declarado]]),0)</f>
        <v>1</v>
      </c>
      <c r="P629" s="11" t="str">
        <f>IF(Base_CRM[[#This Row],[Estado Civil]]="","PESSOA JURÍDICA","PESSOA FÍSICA")</f>
        <v>PESSOA JURÍDICA</v>
      </c>
      <c r="Q629" t="str">
        <f>_xlfn.XLOOKUP(Base_CRM[[#This Row],[Cód do Cliente]],'[1]F &amp; O'!$A:$A,'[1]F &amp; O'!$F:$F,_xlfn.XLOOKUP(Base_CRM[[#This Row],[Assessor]],[1]DePara!$A:$A,[1]DePara!$D:$D,"Outros",0,1),0,1)</f>
        <v>Leonardo Burle</v>
      </c>
      <c r="R629" s="11" t="str">
        <f>_xlfn.XLOOKUP(Base_CRM[[#This Row],[Cód do Cliente]],'[1]F &amp; O'!$A:$A,'[1]F &amp; O'!D:D,"Sem Finder",0,1)</f>
        <v>Sem Finder</v>
      </c>
      <c r="S629" s="11" t="str">
        <f>_xlfn.XLOOKUP(Base_CRM[[#This Row],[Cód do Cliente]],'[1]F &amp; O'!$A:$A,'[1]F &amp; O'!E:E,"Sem Canal",0,1)</f>
        <v>Sem Canal</v>
      </c>
      <c r="T629" s="11" t="str">
        <f t="shared" si="9"/>
        <v>Cliente XP</v>
      </c>
    </row>
    <row r="630" spans="1:20" x14ac:dyDescent="0.3">
      <c r="A630">
        <v>14588761</v>
      </c>
      <c r="B630" s="8" t="s">
        <v>1405</v>
      </c>
      <c r="C630" s="9" t="s">
        <v>74</v>
      </c>
      <c r="D630" s="8">
        <v>0</v>
      </c>
      <c r="F630" t="s">
        <v>40</v>
      </c>
      <c r="G630" t="s">
        <v>1390</v>
      </c>
      <c r="H630" s="10"/>
      <c r="I630" s="10" t="s">
        <v>31</v>
      </c>
      <c r="J630" t="s">
        <v>1399</v>
      </c>
      <c r="L630" t="s">
        <v>1406</v>
      </c>
      <c r="N630" s="11" t="str">
        <f>Base_CRM[[#This Row],[Cidade]]&amp;"/"&amp;Base_CRM[[#This Row],[Estado]]</f>
        <v>SAO PAULO/SP</v>
      </c>
      <c r="O630" s="12">
        <f>IFERROR(IF(Base_CRM[[#This Row],[PL Tailor]]&gt;Base_CRM[[#This Row],[PL Declarado]],1,Base_CRM[[#This Row],[PL Tailor]]/Base_CRM[[#This Row],[PL Declarado]]),0)</f>
        <v>0</v>
      </c>
      <c r="P630" s="11" t="str">
        <f>IF(Base_CRM[[#This Row],[Estado Civil]]="","PESSOA JURÍDICA","PESSOA FÍSICA")</f>
        <v>PESSOA JURÍDICA</v>
      </c>
      <c r="Q630" t="str">
        <f>_xlfn.XLOOKUP(Base_CRM[[#This Row],[Cód do Cliente]],'[1]F &amp; O'!$A:$A,'[1]F &amp; O'!$F:$F,_xlfn.XLOOKUP(Base_CRM[[#This Row],[Assessor]],[1]DePara!$A:$A,[1]DePara!$D:$D,"Outros",0,1),0,1)</f>
        <v>Thayane Freitas</v>
      </c>
      <c r="R630" s="11" t="str">
        <f>_xlfn.XLOOKUP(Base_CRM[[#This Row],[Cód do Cliente]],'[1]F &amp; O'!$A:$A,'[1]F &amp; O'!D:D,"Sem Finder",0,1)</f>
        <v>Sem Finder</v>
      </c>
      <c r="S630" s="11" t="str">
        <f>_xlfn.XLOOKUP(Base_CRM[[#This Row],[Cód do Cliente]],'[1]F &amp; O'!$A:$A,'[1]F &amp; O'!E:E,"Sem Canal",0,1)</f>
        <v>Sem Canal</v>
      </c>
      <c r="T630" s="11" t="str">
        <f t="shared" si="9"/>
        <v>Cliente XP</v>
      </c>
    </row>
    <row r="631" spans="1:20" x14ac:dyDescent="0.3">
      <c r="A631">
        <v>15266162</v>
      </c>
      <c r="B631" s="8" t="s">
        <v>1407</v>
      </c>
      <c r="C631" s="9" t="s">
        <v>21</v>
      </c>
      <c r="D631" s="8">
        <v>0</v>
      </c>
      <c r="F631" t="s">
        <v>40</v>
      </c>
      <c r="G631" t="s">
        <v>1386</v>
      </c>
      <c r="H631" s="10"/>
      <c r="I631" s="10" t="s">
        <v>24</v>
      </c>
      <c r="J631" t="s">
        <v>1387</v>
      </c>
      <c r="L631" t="s">
        <v>1408</v>
      </c>
      <c r="N631" s="11" t="str">
        <f>Base_CRM[[#This Row],[Cidade]]&amp;"/"&amp;Base_CRM[[#This Row],[Estado]]</f>
        <v>RIO DE JANEIRO/RJ</v>
      </c>
      <c r="O631" s="12">
        <f>IFERROR(IF(Base_CRM[[#This Row],[PL Tailor]]&gt;Base_CRM[[#This Row],[PL Declarado]],1,Base_CRM[[#This Row],[PL Tailor]]/Base_CRM[[#This Row],[PL Declarado]]),0)</f>
        <v>0</v>
      </c>
      <c r="P631" s="11" t="str">
        <f>IF(Base_CRM[[#This Row],[Estado Civil]]="","PESSOA JURÍDICA","PESSOA FÍSICA")</f>
        <v>PESSOA JURÍDICA</v>
      </c>
      <c r="Q631" t="str">
        <f>_xlfn.XLOOKUP(Base_CRM[[#This Row],[Cód do Cliente]],'[1]F &amp; O'!$A:$A,'[1]F &amp; O'!$F:$F,_xlfn.XLOOKUP(Base_CRM[[#This Row],[Assessor]],[1]DePara!$A:$A,[1]DePara!$D:$D,"Outros",0,1),0,1)</f>
        <v>Leonardo Burle</v>
      </c>
      <c r="R631" s="11" t="str">
        <f>_xlfn.XLOOKUP(Base_CRM[[#This Row],[Cód do Cliente]],'[1]F &amp; O'!$A:$A,'[1]F &amp; O'!D:D,"Sem Finder",0,1)</f>
        <v>Sem Finder</v>
      </c>
      <c r="S631" s="11" t="str">
        <f>_xlfn.XLOOKUP(Base_CRM[[#This Row],[Cód do Cliente]],'[1]F &amp; O'!$A:$A,'[1]F &amp; O'!E:E,"Sem Canal",0,1)</f>
        <v>Sem Canal</v>
      </c>
      <c r="T631" s="11" t="str">
        <f t="shared" si="9"/>
        <v>Cliente XP</v>
      </c>
    </row>
    <row r="632" spans="1:20" x14ac:dyDescent="0.3">
      <c r="A632">
        <v>2242899</v>
      </c>
      <c r="B632" s="8" t="s">
        <v>1409</v>
      </c>
      <c r="C632" s="9" t="s">
        <v>21</v>
      </c>
      <c r="D632" s="8">
        <v>0</v>
      </c>
      <c r="F632" t="s">
        <v>29</v>
      </c>
      <c r="G632" t="s">
        <v>1410</v>
      </c>
      <c r="H632" s="10"/>
      <c r="I632" s="10" t="s">
        <v>349</v>
      </c>
      <c r="J632" t="s">
        <v>1399</v>
      </c>
      <c r="L632" t="s">
        <v>1411</v>
      </c>
      <c r="N632" s="11" t="str">
        <f>Base_CRM[[#This Row],[Cidade]]&amp;"/"&amp;Base_CRM[[#This Row],[Estado]]</f>
        <v>São Paulo/SP</v>
      </c>
      <c r="O632" s="12">
        <f>IFERROR(IF(Base_CRM[[#This Row],[PL Tailor]]&gt;Base_CRM[[#This Row],[PL Declarado]],1,Base_CRM[[#This Row],[PL Tailor]]/Base_CRM[[#This Row],[PL Declarado]]),0)</f>
        <v>0</v>
      </c>
      <c r="P632" s="11" t="str">
        <f>IF(Base_CRM[[#This Row],[Estado Civil]]="","PESSOA JURÍDICA","PESSOA FÍSICA")</f>
        <v>PESSOA JURÍDICA</v>
      </c>
      <c r="Q632" t="str">
        <f>_xlfn.XLOOKUP(Base_CRM[[#This Row],[Cód do Cliente]],'[1]F &amp; O'!$A:$A,'[1]F &amp; O'!$F:$F,_xlfn.XLOOKUP(Base_CRM[[#This Row],[Assessor]],[1]DePara!$A:$A,[1]DePara!$D:$D,"Outros",0,1),0,1)</f>
        <v>Leonardo Burle</v>
      </c>
      <c r="R632" s="11" t="str">
        <f>_xlfn.XLOOKUP(Base_CRM[[#This Row],[Cód do Cliente]],'[1]F &amp; O'!$A:$A,'[1]F &amp; O'!D:D,"Sem Finder",0,1)</f>
        <v>Sem Finder</v>
      </c>
      <c r="S632" s="11" t="str">
        <f>_xlfn.XLOOKUP(Base_CRM[[#This Row],[Cód do Cliente]],'[1]F &amp; O'!$A:$A,'[1]F &amp; O'!E:E,"Sem Canal",0,1)</f>
        <v>Sem Canal</v>
      </c>
      <c r="T632" s="11" t="str">
        <f t="shared" si="9"/>
        <v>Cliente XP</v>
      </c>
    </row>
    <row r="633" spans="1:20" x14ac:dyDescent="0.3">
      <c r="A633">
        <v>14939857</v>
      </c>
      <c r="B633" s="8" t="s">
        <v>1412</v>
      </c>
      <c r="C633" s="9" t="s">
        <v>74</v>
      </c>
      <c r="D633" s="8">
        <v>0</v>
      </c>
      <c r="F633" t="s">
        <v>40</v>
      </c>
      <c r="G633" t="s">
        <v>1382</v>
      </c>
      <c r="H633" s="10"/>
      <c r="I633" s="10" t="s">
        <v>31</v>
      </c>
      <c r="J633" t="s">
        <v>1399</v>
      </c>
      <c r="L633" t="s">
        <v>1413</v>
      </c>
      <c r="N633" s="11" t="str">
        <f>Base_CRM[[#This Row],[Cidade]]&amp;"/"&amp;Base_CRM[[#This Row],[Estado]]</f>
        <v>SAO PAULO/SP</v>
      </c>
      <c r="O633" s="12">
        <f>IFERROR(IF(Base_CRM[[#This Row],[PL Tailor]]&gt;Base_CRM[[#This Row],[PL Declarado]],1,Base_CRM[[#This Row],[PL Tailor]]/Base_CRM[[#This Row],[PL Declarado]]),0)</f>
        <v>0</v>
      </c>
      <c r="P633" s="11" t="str">
        <f>IF(Base_CRM[[#This Row],[Estado Civil]]="","PESSOA JURÍDICA","PESSOA FÍSICA")</f>
        <v>PESSOA JURÍDICA</v>
      </c>
      <c r="Q633" t="str">
        <f>_xlfn.XLOOKUP(Base_CRM[[#This Row],[Cód do Cliente]],'[1]F &amp; O'!$A:$A,'[1]F &amp; O'!$F:$F,_xlfn.XLOOKUP(Base_CRM[[#This Row],[Assessor]],[1]DePara!$A:$A,[1]DePara!$D:$D,"Outros",0,1),0,1)</f>
        <v>Thayane Freitas</v>
      </c>
      <c r="R633" s="11" t="str">
        <f>_xlfn.XLOOKUP(Base_CRM[[#This Row],[Cód do Cliente]],'[1]F &amp; O'!$A:$A,'[1]F &amp; O'!D:D,"Sem Finder",0,1)</f>
        <v>Sem Finder</v>
      </c>
      <c r="S633" s="11" t="str">
        <f>_xlfn.XLOOKUP(Base_CRM[[#This Row],[Cód do Cliente]],'[1]F &amp; O'!$A:$A,'[1]F &amp; O'!E:E,"Sem Canal",0,1)</f>
        <v>Sem Canal</v>
      </c>
      <c r="T633" s="11" t="str">
        <f t="shared" si="9"/>
        <v>Cliente XP</v>
      </c>
    </row>
    <row r="634" spans="1:20" x14ac:dyDescent="0.3">
      <c r="A634">
        <v>14962288</v>
      </c>
      <c r="B634" s="8" t="s">
        <v>1414</v>
      </c>
      <c r="C634" s="9" t="s">
        <v>103</v>
      </c>
      <c r="D634" s="8">
        <v>7542477.6200000001</v>
      </c>
      <c r="F634" t="s">
        <v>29</v>
      </c>
      <c r="G634" t="s">
        <v>1390</v>
      </c>
      <c r="H634" s="10"/>
      <c r="I634" s="10" t="s">
        <v>62</v>
      </c>
      <c r="J634" t="s">
        <v>1387</v>
      </c>
      <c r="L634" t="s">
        <v>1415</v>
      </c>
      <c r="M634" t="s">
        <v>64</v>
      </c>
      <c r="N634" s="11" t="str">
        <f>Base_CRM[[#This Row],[Cidade]]&amp;"/"&amp;Base_CRM[[#This Row],[Estado]]</f>
        <v>Rio de Janeiro/RJ</v>
      </c>
      <c r="O634" s="12">
        <f>IFERROR(IF(Base_CRM[[#This Row],[PL Tailor]]&gt;Base_CRM[[#This Row],[PL Declarado]],1,Base_CRM[[#This Row],[PL Tailor]]/Base_CRM[[#This Row],[PL Declarado]]),0)</f>
        <v>1</v>
      </c>
      <c r="P634" s="11" t="str">
        <f>IF(Base_CRM[[#This Row],[Estado Civil]]="","PESSOA JURÍDICA","PESSOA FÍSICA")</f>
        <v>PESSOA JURÍDICA</v>
      </c>
      <c r="Q634" t="str">
        <f>_xlfn.XLOOKUP(Base_CRM[[#This Row],[Cód do Cliente]],'[1]F &amp; O'!$A:$A,'[1]F &amp; O'!$F:$F,_xlfn.XLOOKUP(Base_CRM[[#This Row],[Assessor]],[1]DePara!$A:$A,[1]DePara!$D:$D,"Outros",0,1),0,1)</f>
        <v>Raphael Pereira</v>
      </c>
      <c r="R634" s="11" t="str">
        <f>_xlfn.XLOOKUP(Base_CRM[[#This Row],[Cód do Cliente]],'[1]F &amp; O'!$A:$A,'[1]F &amp; O'!D:D,"Sem Finder",0,1)</f>
        <v>Sem Finder</v>
      </c>
      <c r="S634" s="11" t="str">
        <f>_xlfn.XLOOKUP(Base_CRM[[#This Row],[Cód do Cliente]],'[1]F &amp; O'!$A:$A,'[1]F &amp; O'!E:E,"Sem Canal",0,1)</f>
        <v>Sem Canal</v>
      </c>
      <c r="T634" s="11" t="str">
        <f t="shared" si="9"/>
        <v>Cliente XP</v>
      </c>
    </row>
    <row r="635" spans="1:20" x14ac:dyDescent="0.3">
      <c r="A635">
        <v>11624648</v>
      </c>
      <c r="B635" s="8" t="s">
        <v>1416</v>
      </c>
      <c r="C635" s="9" t="s">
        <v>74</v>
      </c>
      <c r="D635" s="8">
        <v>0</v>
      </c>
      <c r="F635" t="s">
        <v>22</v>
      </c>
      <c r="G635" t="s">
        <v>1386</v>
      </c>
      <c r="H635" s="10"/>
      <c r="I635" s="10" t="s">
        <v>1417</v>
      </c>
      <c r="J635" t="s">
        <v>1399</v>
      </c>
      <c r="L635" t="s">
        <v>1418</v>
      </c>
      <c r="N635" s="11" t="str">
        <f>Base_CRM[[#This Row],[Cidade]]&amp;"/"&amp;Base_CRM[[#This Row],[Estado]]</f>
        <v>PIEDADE/SP</v>
      </c>
      <c r="O635" s="12">
        <f>IFERROR(IF(Base_CRM[[#This Row],[PL Tailor]]&gt;Base_CRM[[#This Row],[PL Declarado]],1,Base_CRM[[#This Row],[PL Tailor]]/Base_CRM[[#This Row],[PL Declarado]]),0)</f>
        <v>0</v>
      </c>
      <c r="P635" s="11" t="str">
        <f>IF(Base_CRM[[#This Row],[Estado Civil]]="","PESSOA JURÍDICA","PESSOA FÍSICA")</f>
        <v>PESSOA JURÍDICA</v>
      </c>
      <c r="Q635" t="str">
        <f>_xlfn.XLOOKUP(Base_CRM[[#This Row],[Cód do Cliente]],'[1]F &amp; O'!$A:$A,'[1]F &amp; O'!$F:$F,_xlfn.XLOOKUP(Base_CRM[[#This Row],[Assessor]],[1]DePara!$A:$A,[1]DePara!$D:$D,"Outros",0,1),0,1)</f>
        <v>Thayane Freitas</v>
      </c>
      <c r="R635" s="11" t="str">
        <f>_xlfn.XLOOKUP(Base_CRM[[#This Row],[Cód do Cliente]],'[1]F &amp; O'!$A:$A,'[1]F &amp; O'!D:D,"Sem Finder",0,1)</f>
        <v>Sem Finder</v>
      </c>
      <c r="S635" s="11" t="str">
        <f>_xlfn.XLOOKUP(Base_CRM[[#This Row],[Cód do Cliente]],'[1]F &amp; O'!$A:$A,'[1]F &amp; O'!E:E,"Sem Canal",0,1)</f>
        <v>Sem Canal</v>
      </c>
      <c r="T635" s="11" t="str">
        <f t="shared" si="9"/>
        <v>Cliente XP</v>
      </c>
    </row>
    <row r="636" spans="1:20" x14ac:dyDescent="0.3">
      <c r="A636">
        <v>17853647</v>
      </c>
      <c r="B636" s="8" t="s">
        <v>1419</v>
      </c>
      <c r="C636" s="9" t="s">
        <v>48</v>
      </c>
      <c r="D636" s="8">
        <v>337162.7</v>
      </c>
      <c r="F636" t="s">
        <v>29</v>
      </c>
      <c r="G636" t="s">
        <v>1382</v>
      </c>
      <c r="H636" s="10"/>
      <c r="I636" s="10" t="s">
        <v>463</v>
      </c>
      <c r="J636" t="s">
        <v>1420</v>
      </c>
      <c r="L636" t="s">
        <v>1421</v>
      </c>
      <c r="N636" s="11" t="str">
        <f>Base_CRM[[#This Row],[Cidade]]&amp;"/"&amp;Base_CRM[[#This Row],[Estado]]</f>
        <v>BRASILIA/DF</v>
      </c>
      <c r="O636" s="12">
        <f>IFERROR(IF(Base_CRM[[#This Row],[PL Tailor]]&gt;Base_CRM[[#This Row],[PL Declarado]],1,Base_CRM[[#This Row],[PL Tailor]]/Base_CRM[[#This Row],[PL Declarado]]),0)</f>
        <v>1</v>
      </c>
      <c r="P636" s="11" t="str">
        <f>IF(Base_CRM[[#This Row],[Estado Civil]]="","PESSOA JURÍDICA","PESSOA FÍSICA")</f>
        <v>PESSOA JURÍDICA</v>
      </c>
      <c r="Q636" t="str">
        <f>_xlfn.XLOOKUP(Base_CRM[[#This Row],[Cód do Cliente]],'[1]F &amp; O'!$A:$A,'[1]F &amp; O'!$F:$F,_xlfn.XLOOKUP(Base_CRM[[#This Row],[Assessor]],[1]DePara!$A:$A,[1]DePara!$D:$D,"Outros",0,1),0,1)</f>
        <v>Raphael Farias</v>
      </c>
      <c r="R636" s="11" t="str">
        <f>_xlfn.XLOOKUP(Base_CRM[[#This Row],[Cód do Cliente]],'[1]F &amp; O'!$A:$A,'[1]F &amp; O'!D:D,"Sem Finder",0,1)</f>
        <v>Sem Finder</v>
      </c>
      <c r="S636" s="11" t="str">
        <f>_xlfn.XLOOKUP(Base_CRM[[#This Row],[Cód do Cliente]],'[1]F &amp; O'!$A:$A,'[1]F &amp; O'!E:E,"Sem Canal",0,1)</f>
        <v>Sem Canal</v>
      </c>
      <c r="T636" s="11" t="str">
        <f t="shared" si="9"/>
        <v>Cliente XP</v>
      </c>
    </row>
    <row r="637" spans="1:20" x14ac:dyDescent="0.3">
      <c r="A637">
        <v>15385083</v>
      </c>
      <c r="B637" s="8" t="s">
        <v>1422</v>
      </c>
      <c r="C637" s="9" t="s">
        <v>21</v>
      </c>
      <c r="D637" s="8">
        <v>476276.64</v>
      </c>
      <c r="F637" t="s">
        <v>92</v>
      </c>
      <c r="G637" t="s">
        <v>1390</v>
      </c>
      <c r="H637" s="10"/>
      <c r="I637" s="10" t="s">
        <v>31</v>
      </c>
      <c r="J637" t="s">
        <v>1399</v>
      </c>
      <c r="L637" t="s">
        <v>1423</v>
      </c>
      <c r="M637" t="s">
        <v>64</v>
      </c>
      <c r="N637" s="11" t="str">
        <f>Base_CRM[[#This Row],[Cidade]]&amp;"/"&amp;Base_CRM[[#This Row],[Estado]]</f>
        <v>SAO PAULO/SP</v>
      </c>
      <c r="O637" s="12">
        <f>IFERROR(IF(Base_CRM[[#This Row],[PL Tailor]]&gt;Base_CRM[[#This Row],[PL Declarado]],1,Base_CRM[[#This Row],[PL Tailor]]/Base_CRM[[#This Row],[PL Declarado]]),0)</f>
        <v>1</v>
      </c>
      <c r="P637" s="11" t="str">
        <f>IF(Base_CRM[[#This Row],[Estado Civil]]="","PESSOA JURÍDICA","PESSOA FÍSICA")</f>
        <v>PESSOA JURÍDICA</v>
      </c>
      <c r="Q637" t="str">
        <f>_xlfn.XLOOKUP(Base_CRM[[#This Row],[Cód do Cliente]],'[1]F &amp; O'!$A:$A,'[1]F &amp; O'!$F:$F,_xlfn.XLOOKUP(Base_CRM[[#This Row],[Assessor]],[1]DePara!$A:$A,[1]DePara!$D:$D,"Outros",0,1),0,1)</f>
        <v>Leonardo Burle</v>
      </c>
      <c r="R637" s="11" t="str">
        <f>_xlfn.XLOOKUP(Base_CRM[[#This Row],[Cód do Cliente]],'[1]F &amp; O'!$A:$A,'[1]F &amp; O'!D:D,"Sem Finder",0,1)</f>
        <v>Sem Finder</v>
      </c>
      <c r="S637" s="11" t="str">
        <f>_xlfn.XLOOKUP(Base_CRM[[#This Row],[Cód do Cliente]],'[1]F &amp; O'!$A:$A,'[1]F &amp; O'!E:E,"Sem Canal",0,1)</f>
        <v>Sem Canal</v>
      </c>
      <c r="T637" s="11" t="str">
        <f t="shared" si="9"/>
        <v>Cliente XP</v>
      </c>
    </row>
    <row r="638" spans="1:20" x14ac:dyDescent="0.3">
      <c r="A638">
        <v>14801300</v>
      </c>
      <c r="B638" s="8" t="s">
        <v>1424</v>
      </c>
      <c r="C638" s="9" t="s">
        <v>34</v>
      </c>
      <c r="D638" s="8">
        <v>215758.1</v>
      </c>
      <c r="F638" t="s">
        <v>29</v>
      </c>
      <c r="G638" t="s">
        <v>1390</v>
      </c>
      <c r="H638" s="10"/>
      <c r="I638" s="10" t="s">
        <v>454</v>
      </c>
      <c r="J638" t="s">
        <v>1425</v>
      </c>
      <c r="L638" t="s">
        <v>1426</v>
      </c>
      <c r="N638" s="11" t="str">
        <f>Base_CRM[[#This Row],[Cidade]]&amp;"/"&amp;Base_CRM[[#This Row],[Estado]]</f>
        <v>RECIFE/PE</v>
      </c>
      <c r="O638" s="12">
        <f>IFERROR(IF(Base_CRM[[#This Row],[PL Tailor]]&gt;Base_CRM[[#This Row],[PL Declarado]],1,Base_CRM[[#This Row],[PL Tailor]]/Base_CRM[[#This Row],[PL Declarado]]),0)</f>
        <v>1</v>
      </c>
      <c r="P638" s="11" t="str">
        <f>IF(Base_CRM[[#This Row],[Estado Civil]]="","PESSOA JURÍDICA","PESSOA FÍSICA")</f>
        <v>PESSOA JURÍDICA</v>
      </c>
      <c r="Q638" t="str">
        <f>_xlfn.XLOOKUP(Base_CRM[[#This Row],[Cód do Cliente]],'[1]F &amp; O'!$A:$A,'[1]F &amp; O'!$F:$F,_xlfn.XLOOKUP(Base_CRM[[#This Row],[Assessor]],[1]DePara!$A:$A,[1]DePara!$D:$D,"Outros",0,1),0,1)</f>
        <v>Adonias Noronha</v>
      </c>
      <c r="R638" s="11" t="str">
        <f>_xlfn.XLOOKUP(Base_CRM[[#This Row],[Cód do Cliente]],'[1]F &amp; O'!$A:$A,'[1]F &amp; O'!D:D,"Sem Finder",0,1)</f>
        <v>Sem Finder</v>
      </c>
      <c r="S638" s="11" t="str">
        <f>_xlfn.XLOOKUP(Base_CRM[[#This Row],[Cód do Cliente]],'[1]F &amp; O'!$A:$A,'[1]F &amp; O'!E:E,"Sem Canal",0,1)</f>
        <v>Sem Canal</v>
      </c>
      <c r="T638" s="11" t="str">
        <f t="shared" si="9"/>
        <v>Cliente XP</v>
      </c>
    </row>
    <row r="639" spans="1:20" x14ac:dyDescent="0.3">
      <c r="A639">
        <v>16807485</v>
      </c>
      <c r="B639" s="8" t="s">
        <v>1427</v>
      </c>
      <c r="C639" s="9" t="s">
        <v>34</v>
      </c>
      <c r="D639" s="8">
        <v>918.65</v>
      </c>
      <c r="F639" t="s">
        <v>29</v>
      </c>
      <c r="G639" t="s">
        <v>1428</v>
      </c>
      <c r="H639" s="10"/>
      <c r="I639" s="10" t="s">
        <v>31</v>
      </c>
      <c r="J639" t="s">
        <v>1399</v>
      </c>
      <c r="L639" t="s">
        <v>1429</v>
      </c>
      <c r="N639" s="11" t="str">
        <f>Base_CRM[[#This Row],[Cidade]]&amp;"/"&amp;Base_CRM[[#This Row],[Estado]]</f>
        <v>SAO PAULO/SP</v>
      </c>
      <c r="O639" s="12">
        <f>IFERROR(IF(Base_CRM[[#This Row],[PL Tailor]]&gt;Base_CRM[[#This Row],[PL Declarado]],1,Base_CRM[[#This Row],[PL Tailor]]/Base_CRM[[#This Row],[PL Declarado]]),0)</f>
        <v>1</v>
      </c>
      <c r="P639" s="11" t="str">
        <f>IF(Base_CRM[[#This Row],[Estado Civil]]="","PESSOA JURÍDICA","PESSOA FÍSICA")</f>
        <v>PESSOA JURÍDICA</v>
      </c>
      <c r="Q639" t="str">
        <f>_xlfn.XLOOKUP(Base_CRM[[#This Row],[Cód do Cliente]],'[1]F &amp; O'!$A:$A,'[1]F &amp; O'!$F:$F,_xlfn.XLOOKUP(Base_CRM[[#This Row],[Assessor]],[1]DePara!$A:$A,[1]DePara!$D:$D,"Outros",0,1),0,1)</f>
        <v>Adonias Noronha</v>
      </c>
      <c r="R639" s="11" t="str">
        <f>_xlfn.XLOOKUP(Base_CRM[[#This Row],[Cód do Cliente]],'[1]F &amp; O'!$A:$A,'[1]F &amp; O'!D:D,"Sem Finder",0,1)</f>
        <v>Sem Finder</v>
      </c>
      <c r="S639" s="11" t="str">
        <f>_xlfn.XLOOKUP(Base_CRM[[#This Row],[Cód do Cliente]],'[1]F &amp; O'!$A:$A,'[1]F &amp; O'!E:E,"Sem Canal",0,1)</f>
        <v>Sem Canal</v>
      </c>
      <c r="T639" s="11" t="str">
        <f t="shared" si="9"/>
        <v>Cliente XP</v>
      </c>
    </row>
    <row r="640" spans="1:20" x14ac:dyDescent="0.3">
      <c r="A640">
        <v>16699702</v>
      </c>
      <c r="B640" s="8" t="s">
        <v>1430</v>
      </c>
      <c r="C640" s="9" t="s">
        <v>34</v>
      </c>
      <c r="D640" s="8">
        <v>2004128.13</v>
      </c>
      <c r="F640" t="s">
        <v>29</v>
      </c>
      <c r="G640" t="s">
        <v>1428</v>
      </c>
      <c r="H640" s="10"/>
      <c r="I640" s="10" t="s">
        <v>31</v>
      </c>
      <c r="J640" t="s">
        <v>1399</v>
      </c>
      <c r="L640" t="s">
        <v>1431</v>
      </c>
      <c r="N640" s="11" t="str">
        <f>Base_CRM[[#This Row],[Cidade]]&amp;"/"&amp;Base_CRM[[#This Row],[Estado]]</f>
        <v>SAO PAULO/SP</v>
      </c>
      <c r="O640" s="12">
        <f>IFERROR(IF(Base_CRM[[#This Row],[PL Tailor]]&gt;Base_CRM[[#This Row],[PL Declarado]],1,Base_CRM[[#This Row],[PL Tailor]]/Base_CRM[[#This Row],[PL Declarado]]),0)</f>
        <v>1</v>
      </c>
      <c r="P640" s="11" t="str">
        <f>IF(Base_CRM[[#This Row],[Estado Civil]]="","PESSOA JURÍDICA","PESSOA FÍSICA")</f>
        <v>PESSOA JURÍDICA</v>
      </c>
      <c r="Q640" t="str">
        <f>_xlfn.XLOOKUP(Base_CRM[[#This Row],[Cód do Cliente]],'[1]F &amp; O'!$A:$A,'[1]F &amp; O'!$F:$F,_xlfn.XLOOKUP(Base_CRM[[#This Row],[Assessor]],[1]DePara!$A:$A,[1]DePara!$D:$D,"Outros",0,1),0,1)</f>
        <v>Adonias Noronha</v>
      </c>
      <c r="R640" s="11" t="str">
        <f>_xlfn.XLOOKUP(Base_CRM[[#This Row],[Cód do Cliente]],'[1]F &amp; O'!$A:$A,'[1]F &amp; O'!D:D,"Sem Finder",0,1)</f>
        <v>Sem Finder</v>
      </c>
      <c r="S640" s="11" t="str">
        <f>_xlfn.XLOOKUP(Base_CRM[[#This Row],[Cód do Cliente]],'[1]F &amp; O'!$A:$A,'[1]F &amp; O'!E:E,"Sem Canal",0,1)</f>
        <v>Sem Canal</v>
      </c>
      <c r="T640" s="11" t="str">
        <f t="shared" si="9"/>
        <v>Cliente XP</v>
      </c>
    </row>
    <row r="641" spans="1:20" x14ac:dyDescent="0.3">
      <c r="A641">
        <v>11921986</v>
      </c>
      <c r="B641" s="8" t="s">
        <v>1432</v>
      </c>
      <c r="C641" s="9" t="s">
        <v>74</v>
      </c>
      <c r="D641" s="8">
        <v>10.99</v>
      </c>
      <c r="F641" t="s">
        <v>92</v>
      </c>
      <c r="G641" t="s">
        <v>1390</v>
      </c>
      <c r="H641" s="10"/>
      <c r="I641" s="10" t="s">
        <v>1322</v>
      </c>
      <c r="J641" t="s">
        <v>1399</v>
      </c>
      <c r="L641" t="s">
        <v>1433</v>
      </c>
      <c r="N641" s="11" t="str">
        <f>Base_CRM[[#This Row],[Cidade]]&amp;"/"&amp;Base_CRM[[#This Row],[Estado]]</f>
        <v>VALINHOS/SP</v>
      </c>
      <c r="O641" s="12">
        <f>IFERROR(IF(Base_CRM[[#This Row],[PL Tailor]]&gt;Base_CRM[[#This Row],[PL Declarado]],1,Base_CRM[[#This Row],[PL Tailor]]/Base_CRM[[#This Row],[PL Declarado]]),0)</f>
        <v>1</v>
      </c>
      <c r="P641" s="11" t="str">
        <f>IF(Base_CRM[[#This Row],[Estado Civil]]="","PESSOA JURÍDICA","PESSOA FÍSICA")</f>
        <v>PESSOA JURÍDICA</v>
      </c>
      <c r="Q641" t="str">
        <f>_xlfn.XLOOKUP(Base_CRM[[#This Row],[Cód do Cliente]],'[1]F &amp; O'!$A:$A,'[1]F &amp; O'!$F:$F,_xlfn.XLOOKUP(Base_CRM[[#This Row],[Assessor]],[1]DePara!$A:$A,[1]DePara!$D:$D,"Outros",0,1),0,1)</f>
        <v>Thayane Freitas</v>
      </c>
      <c r="R641" s="11" t="str">
        <f>_xlfn.XLOOKUP(Base_CRM[[#This Row],[Cód do Cliente]],'[1]F &amp; O'!$A:$A,'[1]F &amp; O'!D:D,"Sem Finder",0,1)</f>
        <v>Sem Finder</v>
      </c>
      <c r="S641" s="11" t="str">
        <f>_xlfn.XLOOKUP(Base_CRM[[#This Row],[Cód do Cliente]],'[1]F &amp; O'!$A:$A,'[1]F &amp; O'!E:E,"Sem Canal",0,1)</f>
        <v>Sem Canal</v>
      </c>
      <c r="T641" s="11" t="str">
        <f t="shared" si="9"/>
        <v>Cliente XP</v>
      </c>
    </row>
    <row r="642" spans="1:20" x14ac:dyDescent="0.3">
      <c r="A642">
        <v>15040411</v>
      </c>
      <c r="B642" s="8" t="s">
        <v>1434</v>
      </c>
      <c r="C642" s="9" t="s">
        <v>74</v>
      </c>
      <c r="D642" s="8">
        <v>0</v>
      </c>
      <c r="F642" t="s">
        <v>40</v>
      </c>
      <c r="G642" t="s">
        <v>1435</v>
      </c>
      <c r="H642" s="10"/>
      <c r="I642" s="10" t="s">
        <v>1436</v>
      </c>
      <c r="J642" t="s">
        <v>1396</v>
      </c>
      <c r="L642" t="s">
        <v>1437</v>
      </c>
      <c r="N642" s="11" t="str">
        <f>Base_CRM[[#This Row],[Cidade]]&amp;"/"&amp;Base_CRM[[#This Row],[Estado]]</f>
        <v>RIO BRANCO DO SUL/PR</v>
      </c>
      <c r="O642" s="12">
        <f>IFERROR(IF(Base_CRM[[#This Row],[PL Tailor]]&gt;Base_CRM[[#This Row],[PL Declarado]],1,Base_CRM[[#This Row],[PL Tailor]]/Base_CRM[[#This Row],[PL Declarado]]),0)</f>
        <v>0</v>
      </c>
      <c r="P642" s="11" t="str">
        <f>IF(Base_CRM[[#This Row],[Estado Civil]]="","PESSOA JURÍDICA","PESSOA FÍSICA")</f>
        <v>PESSOA JURÍDICA</v>
      </c>
      <c r="Q642" t="str">
        <f>_xlfn.XLOOKUP(Base_CRM[[#This Row],[Cód do Cliente]],'[1]F &amp; O'!$A:$A,'[1]F &amp; O'!$F:$F,_xlfn.XLOOKUP(Base_CRM[[#This Row],[Assessor]],[1]DePara!$A:$A,[1]DePara!$D:$D,"Outros",0,1),0,1)</f>
        <v>Thayane Freitas</v>
      </c>
      <c r="R642" s="11" t="str">
        <f>_xlfn.XLOOKUP(Base_CRM[[#This Row],[Cód do Cliente]],'[1]F &amp; O'!$A:$A,'[1]F &amp; O'!D:D,"Sem Finder",0,1)</f>
        <v>Sem Finder</v>
      </c>
      <c r="S642" s="11" t="str">
        <f>_xlfn.XLOOKUP(Base_CRM[[#This Row],[Cód do Cliente]],'[1]F &amp; O'!$A:$A,'[1]F &amp; O'!E:E,"Sem Canal",0,1)</f>
        <v>Sem Canal</v>
      </c>
      <c r="T642" s="11" t="str">
        <f t="shared" ref="T642:T705" si="10">"Cliente XP"</f>
        <v>Cliente XP</v>
      </c>
    </row>
    <row r="643" spans="1:20" x14ac:dyDescent="0.3">
      <c r="A643">
        <v>5294180</v>
      </c>
      <c r="B643" s="8" t="s">
        <v>1438</v>
      </c>
      <c r="C643" s="9" t="s">
        <v>48</v>
      </c>
      <c r="D643" s="8">
        <v>0</v>
      </c>
      <c r="F643" t="s">
        <v>22</v>
      </c>
      <c r="G643" t="s">
        <v>1390</v>
      </c>
      <c r="H643" s="10"/>
      <c r="I643" s="10" t="s">
        <v>1439</v>
      </c>
      <c r="J643" t="s">
        <v>1387</v>
      </c>
      <c r="L643" t="s">
        <v>1440</v>
      </c>
      <c r="N643" s="11" t="str">
        <f>Base_CRM[[#This Row],[Cidade]]&amp;"/"&amp;Base_CRM[[#This Row],[Estado]]</f>
        <v>Teresópolis/RJ</v>
      </c>
      <c r="O643" s="12">
        <f>IFERROR(IF(Base_CRM[[#This Row],[PL Tailor]]&gt;Base_CRM[[#This Row],[PL Declarado]],1,Base_CRM[[#This Row],[PL Tailor]]/Base_CRM[[#This Row],[PL Declarado]]),0)</f>
        <v>0</v>
      </c>
      <c r="P643" s="11" t="str">
        <f>IF(Base_CRM[[#This Row],[Estado Civil]]="","PESSOA JURÍDICA","PESSOA FÍSICA")</f>
        <v>PESSOA JURÍDICA</v>
      </c>
      <c r="Q643" t="str">
        <f>_xlfn.XLOOKUP(Base_CRM[[#This Row],[Cód do Cliente]],'[1]F &amp; O'!$A:$A,'[1]F &amp; O'!$F:$F,_xlfn.XLOOKUP(Base_CRM[[#This Row],[Assessor]],[1]DePara!$A:$A,[1]DePara!$D:$D,"Outros",0,1),0,1)</f>
        <v>Raphael Farias</v>
      </c>
      <c r="R643" s="11" t="str">
        <f>_xlfn.XLOOKUP(Base_CRM[[#This Row],[Cód do Cliente]],'[1]F &amp; O'!$A:$A,'[1]F &amp; O'!D:D,"Sem Finder",0,1)</f>
        <v>Sem Finder</v>
      </c>
      <c r="S643" s="11" t="str">
        <f>_xlfn.XLOOKUP(Base_CRM[[#This Row],[Cód do Cliente]],'[1]F &amp; O'!$A:$A,'[1]F &amp; O'!E:E,"Sem Canal",0,1)</f>
        <v>Sem Canal</v>
      </c>
      <c r="T643" s="11" t="str">
        <f t="shared" si="10"/>
        <v>Cliente XP</v>
      </c>
    </row>
    <row r="644" spans="1:20" x14ac:dyDescent="0.3">
      <c r="A644">
        <v>7223158</v>
      </c>
      <c r="B644" s="8" t="s">
        <v>1441</v>
      </c>
      <c r="C644" s="9" t="s">
        <v>34</v>
      </c>
      <c r="D644" s="8">
        <v>521997.07</v>
      </c>
      <c r="F644" t="s">
        <v>29</v>
      </c>
      <c r="G644" t="s">
        <v>1382</v>
      </c>
      <c r="H644" s="10"/>
      <c r="I644" s="10" t="s">
        <v>349</v>
      </c>
      <c r="J644" t="s">
        <v>1399</v>
      </c>
      <c r="L644" t="s">
        <v>1442</v>
      </c>
      <c r="N644" s="11" t="str">
        <f>Base_CRM[[#This Row],[Cidade]]&amp;"/"&amp;Base_CRM[[#This Row],[Estado]]</f>
        <v>São Paulo/SP</v>
      </c>
      <c r="O644" s="12">
        <f>IFERROR(IF(Base_CRM[[#This Row],[PL Tailor]]&gt;Base_CRM[[#This Row],[PL Declarado]],1,Base_CRM[[#This Row],[PL Tailor]]/Base_CRM[[#This Row],[PL Declarado]]),0)</f>
        <v>1</v>
      </c>
      <c r="P644" s="11" t="str">
        <f>IF(Base_CRM[[#This Row],[Estado Civil]]="","PESSOA JURÍDICA","PESSOA FÍSICA")</f>
        <v>PESSOA JURÍDICA</v>
      </c>
      <c r="Q644" t="str">
        <f>_xlfn.XLOOKUP(Base_CRM[[#This Row],[Cód do Cliente]],'[1]F &amp; O'!$A:$A,'[1]F &amp; O'!$F:$F,_xlfn.XLOOKUP(Base_CRM[[#This Row],[Assessor]],[1]DePara!$A:$A,[1]DePara!$D:$D,"Outros",0,1),0,1)</f>
        <v>Adonias Noronha</v>
      </c>
      <c r="R644" s="11" t="str">
        <f>_xlfn.XLOOKUP(Base_CRM[[#This Row],[Cód do Cliente]],'[1]F &amp; O'!$A:$A,'[1]F &amp; O'!D:D,"Sem Finder",0,1)</f>
        <v>Sem Finder</v>
      </c>
      <c r="S644" s="11" t="str">
        <f>_xlfn.XLOOKUP(Base_CRM[[#This Row],[Cód do Cliente]],'[1]F &amp; O'!$A:$A,'[1]F &amp; O'!E:E,"Sem Canal",0,1)</f>
        <v>Camila Corrêa</v>
      </c>
      <c r="T644" s="11" t="str">
        <f t="shared" si="10"/>
        <v>Cliente XP</v>
      </c>
    </row>
    <row r="645" spans="1:20" x14ac:dyDescent="0.3">
      <c r="A645">
        <v>7226400</v>
      </c>
      <c r="B645" s="8" t="s">
        <v>1443</v>
      </c>
      <c r="C645" s="9" t="s">
        <v>39</v>
      </c>
      <c r="D645" s="8">
        <v>294805.31</v>
      </c>
      <c r="F645" t="s">
        <v>40</v>
      </c>
      <c r="G645" t="s">
        <v>1390</v>
      </c>
      <c r="H645" s="10"/>
      <c r="I645" s="10" t="s">
        <v>379</v>
      </c>
      <c r="J645" t="s">
        <v>1399</v>
      </c>
      <c r="L645" t="s">
        <v>1444</v>
      </c>
      <c r="N645" s="11" t="str">
        <f>Base_CRM[[#This Row],[Cidade]]&amp;"/"&amp;Base_CRM[[#This Row],[Estado]]</f>
        <v>Barueri/SP</v>
      </c>
      <c r="O645" s="12">
        <f>IFERROR(IF(Base_CRM[[#This Row],[PL Tailor]]&gt;Base_CRM[[#This Row],[PL Declarado]],1,Base_CRM[[#This Row],[PL Tailor]]/Base_CRM[[#This Row],[PL Declarado]]),0)</f>
        <v>1</v>
      </c>
      <c r="P645" s="11" t="str">
        <f>IF(Base_CRM[[#This Row],[Estado Civil]]="","PESSOA JURÍDICA","PESSOA FÍSICA")</f>
        <v>PESSOA JURÍDICA</v>
      </c>
      <c r="Q645" t="str">
        <f>_xlfn.XLOOKUP(Base_CRM[[#This Row],[Cód do Cliente]],'[1]F &amp; O'!$A:$A,'[1]F &amp; O'!$F:$F,_xlfn.XLOOKUP(Base_CRM[[#This Row],[Assessor]],[1]DePara!$A:$A,[1]DePara!$D:$D,"Outros",0,1),0,1)</f>
        <v>Gestora</v>
      </c>
      <c r="R645" s="11" t="str">
        <f>_xlfn.XLOOKUP(Base_CRM[[#This Row],[Cód do Cliente]],'[1]F &amp; O'!$A:$A,'[1]F &amp; O'!D:D,"Sem Finder",0,1)</f>
        <v>Sem Finder</v>
      </c>
      <c r="S645" s="11" t="str">
        <f>_xlfn.XLOOKUP(Base_CRM[[#This Row],[Cód do Cliente]],'[1]F &amp; O'!$A:$A,'[1]F &amp; O'!E:E,"Sem Canal",0,1)</f>
        <v>Gestora</v>
      </c>
      <c r="T645" s="11" t="str">
        <f t="shared" si="10"/>
        <v>Cliente XP</v>
      </c>
    </row>
    <row r="646" spans="1:20" x14ac:dyDescent="0.3">
      <c r="A646">
        <v>8221827</v>
      </c>
      <c r="B646" s="8" t="s">
        <v>1445</v>
      </c>
      <c r="C646" s="9" t="s">
        <v>21</v>
      </c>
      <c r="D646" s="8">
        <v>0</v>
      </c>
      <c r="F646" t="s">
        <v>29</v>
      </c>
      <c r="G646" t="s">
        <v>1446</v>
      </c>
      <c r="H646" s="10"/>
      <c r="I646" s="10" t="s">
        <v>1447</v>
      </c>
      <c r="J646" t="s">
        <v>1387</v>
      </c>
      <c r="L646" t="s">
        <v>1448</v>
      </c>
      <c r="M646" t="s">
        <v>1449</v>
      </c>
      <c r="N646" s="11" t="str">
        <f>Base_CRM[[#This Row],[Cidade]]&amp;"/"&amp;Base_CRM[[#This Row],[Estado]]</f>
        <v>Nova Friburgo/RJ</v>
      </c>
      <c r="O646" s="12">
        <f>IFERROR(IF(Base_CRM[[#This Row],[PL Tailor]]&gt;Base_CRM[[#This Row],[PL Declarado]],1,Base_CRM[[#This Row],[PL Tailor]]/Base_CRM[[#This Row],[PL Declarado]]),0)</f>
        <v>0</v>
      </c>
      <c r="P646" s="11" t="str">
        <f>IF(Base_CRM[[#This Row],[Estado Civil]]="","PESSOA JURÍDICA","PESSOA FÍSICA")</f>
        <v>PESSOA JURÍDICA</v>
      </c>
      <c r="Q646" t="str">
        <f>_xlfn.XLOOKUP(Base_CRM[[#This Row],[Cód do Cliente]],'[1]F &amp; O'!$A:$A,'[1]F &amp; O'!$F:$F,_xlfn.XLOOKUP(Base_CRM[[#This Row],[Assessor]],[1]DePara!$A:$A,[1]DePara!$D:$D,"Outros",0,1),0,1)</f>
        <v>Leonardo Burle</v>
      </c>
      <c r="R646" s="11" t="str">
        <f>_xlfn.XLOOKUP(Base_CRM[[#This Row],[Cód do Cliente]],'[1]F &amp; O'!$A:$A,'[1]F &amp; O'!D:D,"Sem Finder",0,1)</f>
        <v>Sem Finder</v>
      </c>
      <c r="S646" s="11" t="str">
        <f>_xlfn.XLOOKUP(Base_CRM[[#This Row],[Cód do Cliente]],'[1]F &amp; O'!$A:$A,'[1]F &amp; O'!E:E,"Sem Canal",0,1)</f>
        <v>Sem Canal</v>
      </c>
      <c r="T646" s="11" t="str">
        <f t="shared" si="10"/>
        <v>Cliente XP</v>
      </c>
    </row>
    <row r="647" spans="1:20" x14ac:dyDescent="0.3">
      <c r="A647">
        <v>9164528</v>
      </c>
      <c r="B647" s="8" t="s">
        <v>1450</v>
      </c>
      <c r="C647" s="9" t="s">
        <v>39</v>
      </c>
      <c r="D647" s="8">
        <v>423281.37</v>
      </c>
      <c r="F647" t="s">
        <v>40</v>
      </c>
      <c r="G647" t="s">
        <v>1390</v>
      </c>
      <c r="H647" s="10"/>
      <c r="I647" s="10" t="s">
        <v>285</v>
      </c>
      <c r="J647" t="s">
        <v>1399</v>
      </c>
      <c r="L647" t="s">
        <v>1451</v>
      </c>
      <c r="N647" s="11" t="str">
        <f>Base_CRM[[#This Row],[Cidade]]&amp;"/"&amp;Base_CRM[[#This Row],[Estado]]</f>
        <v>SANTANA DE PARNAIBA/SP</v>
      </c>
      <c r="O647" s="12">
        <f>IFERROR(IF(Base_CRM[[#This Row],[PL Tailor]]&gt;Base_CRM[[#This Row],[PL Declarado]],1,Base_CRM[[#This Row],[PL Tailor]]/Base_CRM[[#This Row],[PL Declarado]]),0)</f>
        <v>1</v>
      </c>
      <c r="P647" s="11" t="str">
        <f>IF(Base_CRM[[#This Row],[Estado Civil]]="","PESSOA JURÍDICA","PESSOA FÍSICA")</f>
        <v>PESSOA JURÍDICA</v>
      </c>
      <c r="Q647" t="str">
        <f>_xlfn.XLOOKUP(Base_CRM[[#This Row],[Cód do Cliente]],'[1]F &amp; O'!$A:$A,'[1]F &amp; O'!$F:$F,_xlfn.XLOOKUP(Base_CRM[[#This Row],[Assessor]],[1]DePara!$A:$A,[1]DePara!$D:$D,"Outros",0,1),0,1)</f>
        <v>Gestora</v>
      </c>
      <c r="R647" s="11" t="str">
        <f>_xlfn.XLOOKUP(Base_CRM[[#This Row],[Cód do Cliente]],'[1]F &amp; O'!$A:$A,'[1]F &amp; O'!D:D,"Sem Finder",0,1)</f>
        <v>Sem Finder</v>
      </c>
      <c r="S647" s="11" t="str">
        <f>_xlfn.XLOOKUP(Base_CRM[[#This Row],[Cód do Cliente]],'[1]F &amp; O'!$A:$A,'[1]F &amp; O'!E:E,"Sem Canal",0,1)</f>
        <v>Gestora</v>
      </c>
      <c r="T647" s="11" t="str">
        <f t="shared" si="10"/>
        <v>Cliente XP</v>
      </c>
    </row>
    <row r="648" spans="1:20" x14ac:dyDescent="0.3">
      <c r="A648">
        <v>16354299</v>
      </c>
      <c r="B648" s="8" t="s">
        <v>1452</v>
      </c>
      <c r="C648" s="9" t="s">
        <v>103</v>
      </c>
      <c r="D648" s="8">
        <v>0</v>
      </c>
      <c r="G648" t="s">
        <v>1453</v>
      </c>
      <c r="H648" s="10"/>
      <c r="I648" s="10" t="s">
        <v>1454</v>
      </c>
      <c r="J648" t="s">
        <v>1455</v>
      </c>
      <c r="L648" t="s">
        <v>1456</v>
      </c>
      <c r="N648" s="11" t="str">
        <f>Base_CRM[[#This Row],[Cidade]]&amp;"/"&amp;Base_CRM[[#This Row],[Estado]]</f>
        <v>MACHADINHO D'OESTE/RO</v>
      </c>
      <c r="O648" s="12">
        <f>IFERROR(IF(Base_CRM[[#This Row],[PL Tailor]]&gt;Base_CRM[[#This Row],[PL Declarado]],1,Base_CRM[[#This Row],[PL Tailor]]/Base_CRM[[#This Row],[PL Declarado]]),0)</f>
        <v>0</v>
      </c>
      <c r="P648" s="11" t="str">
        <f>IF(Base_CRM[[#This Row],[Estado Civil]]="","PESSOA JURÍDICA","PESSOA FÍSICA")</f>
        <v>PESSOA JURÍDICA</v>
      </c>
      <c r="Q648" t="str">
        <f>_xlfn.XLOOKUP(Base_CRM[[#This Row],[Cód do Cliente]],'[1]F &amp; O'!$A:$A,'[1]F &amp; O'!$F:$F,_xlfn.XLOOKUP(Base_CRM[[#This Row],[Assessor]],[1]DePara!$A:$A,[1]DePara!$D:$D,"Outros",0,1),0,1)</f>
        <v>Raphael Pereira</v>
      </c>
      <c r="R648" s="11" t="str">
        <f>_xlfn.XLOOKUP(Base_CRM[[#This Row],[Cód do Cliente]],'[1]F &amp; O'!$A:$A,'[1]F &amp; O'!D:D,"Sem Finder",0,1)</f>
        <v>Gustavo Faria</v>
      </c>
      <c r="S648" s="11" t="str">
        <f>_xlfn.XLOOKUP(Base_CRM[[#This Row],[Cód do Cliente]],'[1]F &amp; O'!$A:$A,'[1]F &amp; O'!E:E,"Sem Canal",0,1)</f>
        <v>Sem Canal</v>
      </c>
      <c r="T648" s="11" t="str">
        <f t="shared" si="10"/>
        <v>Cliente XP</v>
      </c>
    </row>
    <row r="649" spans="1:20" x14ac:dyDescent="0.3">
      <c r="A649">
        <v>5978554</v>
      </c>
      <c r="B649" s="8" t="s">
        <v>1457</v>
      </c>
      <c r="C649" s="9" t="s">
        <v>39</v>
      </c>
      <c r="D649" s="8">
        <v>167606</v>
      </c>
      <c r="F649" t="s">
        <v>29</v>
      </c>
      <c r="G649" t="s">
        <v>1458</v>
      </c>
      <c r="H649" s="10"/>
      <c r="I649" s="10" t="s">
        <v>785</v>
      </c>
      <c r="J649" t="s">
        <v>1399</v>
      </c>
      <c r="L649" t="s">
        <v>1459</v>
      </c>
      <c r="N649" s="11" t="str">
        <f>Base_CRM[[#This Row],[Cidade]]&amp;"/"&amp;Base_CRM[[#This Row],[Estado]]</f>
        <v>SÃO PAULO/SP</v>
      </c>
      <c r="O649" s="12">
        <f>IFERROR(IF(Base_CRM[[#This Row],[PL Tailor]]&gt;Base_CRM[[#This Row],[PL Declarado]],1,Base_CRM[[#This Row],[PL Tailor]]/Base_CRM[[#This Row],[PL Declarado]]),0)</f>
        <v>1</v>
      </c>
      <c r="P649" s="11" t="str">
        <f>IF(Base_CRM[[#This Row],[Estado Civil]]="","PESSOA JURÍDICA","PESSOA FÍSICA")</f>
        <v>PESSOA JURÍDICA</v>
      </c>
      <c r="Q649" t="str">
        <f>_xlfn.XLOOKUP(Base_CRM[[#This Row],[Cód do Cliente]],'[1]F &amp; O'!$A:$A,'[1]F &amp; O'!$F:$F,_xlfn.XLOOKUP(Base_CRM[[#This Row],[Assessor]],[1]DePara!$A:$A,[1]DePara!$D:$D,"Outros",0,1),0,1)</f>
        <v>Gestora</v>
      </c>
      <c r="R649" s="11" t="str">
        <f>_xlfn.XLOOKUP(Base_CRM[[#This Row],[Cód do Cliente]],'[1]F &amp; O'!$A:$A,'[1]F &amp; O'!D:D,"Sem Finder",0,1)</f>
        <v>Sem Finder</v>
      </c>
      <c r="S649" s="11" t="str">
        <f>_xlfn.XLOOKUP(Base_CRM[[#This Row],[Cód do Cliente]],'[1]F &amp; O'!$A:$A,'[1]F &amp; O'!E:E,"Sem Canal",0,1)</f>
        <v>Gestora</v>
      </c>
      <c r="T649" s="11" t="str">
        <f t="shared" si="10"/>
        <v>Cliente XP</v>
      </c>
    </row>
    <row r="650" spans="1:20" x14ac:dyDescent="0.3">
      <c r="A650">
        <v>17919108</v>
      </c>
      <c r="B650" s="8" t="s">
        <v>1460</v>
      </c>
      <c r="C650" s="9" t="s">
        <v>103</v>
      </c>
      <c r="D650" s="8">
        <v>1702743.19</v>
      </c>
      <c r="F650" t="s">
        <v>22</v>
      </c>
      <c r="G650" t="s">
        <v>1382</v>
      </c>
      <c r="H650" s="10"/>
      <c r="I650" s="10" t="s">
        <v>31</v>
      </c>
      <c r="J650" t="s">
        <v>1399</v>
      </c>
      <c r="L650" t="s">
        <v>1461</v>
      </c>
      <c r="N650" s="11" t="str">
        <f>Base_CRM[[#This Row],[Cidade]]&amp;"/"&amp;Base_CRM[[#This Row],[Estado]]</f>
        <v>SAO PAULO/SP</v>
      </c>
      <c r="O650" s="12">
        <f>IFERROR(IF(Base_CRM[[#This Row],[PL Tailor]]&gt;Base_CRM[[#This Row],[PL Declarado]],1,Base_CRM[[#This Row],[PL Tailor]]/Base_CRM[[#This Row],[PL Declarado]]),0)</f>
        <v>1</v>
      </c>
      <c r="P650" s="11" t="str">
        <f>IF(Base_CRM[[#This Row],[Estado Civil]]="","PESSOA JURÍDICA","PESSOA FÍSICA")</f>
        <v>PESSOA JURÍDICA</v>
      </c>
      <c r="Q650" t="str">
        <f>_xlfn.XLOOKUP(Base_CRM[[#This Row],[Cód do Cliente]],'[1]F &amp; O'!$A:$A,'[1]F &amp; O'!$F:$F,_xlfn.XLOOKUP(Base_CRM[[#This Row],[Assessor]],[1]DePara!$A:$A,[1]DePara!$D:$D,"Outros",0,1),0,1)</f>
        <v>Raphael Pereira</v>
      </c>
      <c r="R650" s="11" t="str">
        <f>_xlfn.XLOOKUP(Base_CRM[[#This Row],[Cód do Cliente]],'[1]F &amp; O'!$A:$A,'[1]F &amp; O'!D:D,"Sem Finder",0,1)</f>
        <v>Gustavo Faria</v>
      </c>
      <c r="S650" s="11" t="str">
        <f>_xlfn.XLOOKUP(Base_CRM[[#This Row],[Cód do Cliente]],'[1]F &amp; O'!$A:$A,'[1]F &amp; O'!E:E,"Sem Canal",0,1)</f>
        <v>Sem Canal</v>
      </c>
      <c r="T650" s="11" t="str">
        <f t="shared" si="10"/>
        <v>Cliente XP</v>
      </c>
    </row>
    <row r="651" spans="1:20" x14ac:dyDescent="0.3">
      <c r="A651">
        <v>15675681</v>
      </c>
      <c r="B651" s="8" t="s">
        <v>1462</v>
      </c>
      <c r="C651" s="9" t="s">
        <v>21</v>
      </c>
      <c r="D651" s="8">
        <v>639330.57999999996</v>
      </c>
      <c r="F651" t="s">
        <v>92</v>
      </c>
      <c r="G651" t="s">
        <v>1446</v>
      </c>
      <c r="H651" s="10"/>
      <c r="I651" s="10" t="s">
        <v>31</v>
      </c>
      <c r="J651" t="s">
        <v>1399</v>
      </c>
      <c r="L651" t="s">
        <v>1463</v>
      </c>
      <c r="M651" t="s">
        <v>64</v>
      </c>
      <c r="N651" s="11" t="str">
        <f>Base_CRM[[#This Row],[Cidade]]&amp;"/"&amp;Base_CRM[[#This Row],[Estado]]</f>
        <v>SAO PAULO/SP</v>
      </c>
      <c r="O651" s="12">
        <f>IFERROR(IF(Base_CRM[[#This Row],[PL Tailor]]&gt;Base_CRM[[#This Row],[PL Declarado]],1,Base_CRM[[#This Row],[PL Tailor]]/Base_CRM[[#This Row],[PL Declarado]]),0)</f>
        <v>1</v>
      </c>
      <c r="P651" s="11" t="str">
        <f>IF(Base_CRM[[#This Row],[Estado Civil]]="","PESSOA JURÍDICA","PESSOA FÍSICA")</f>
        <v>PESSOA JURÍDICA</v>
      </c>
      <c r="Q651" t="str">
        <f>_xlfn.XLOOKUP(Base_CRM[[#This Row],[Cód do Cliente]],'[1]F &amp; O'!$A:$A,'[1]F &amp; O'!$F:$F,_xlfn.XLOOKUP(Base_CRM[[#This Row],[Assessor]],[1]DePara!$A:$A,[1]DePara!$D:$D,"Outros",0,1),0,1)</f>
        <v>Leonardo Burle</v>
      </c>
      <c r="R651" s="11" t="str">
        <f>_xlfn.XLOOKUP(Base_CRM[[#This Row],[Cód do Cliente]],'[1]F &amp; O'!$A:$A,'[1]F &amp; O'!D:D,"Sem Finder",0,1)</f>
        <v>Sem Finder</v>
      </c>
      <c r="S651" s="11" t="str">
        <f>_xlfn.XLOOKUP(Base_CRM[[#This Row],[Cód do Cliente]],'[1]F &amp; O'!$A:$A,'[1]F &amp; O'!E:E,"Sem Canal",0,1)</f>
        <v>Sem Canal</v>
      </c>
      <c r="T651" s="11" t="str">
        <f t="shared" si="10"/>
        <v>Cliente XP</v>
      </c>
    </row>
    <row r="652" spans="1:20" x14ac:dyDescent="0.3">
      <c r="A652">
        <v>15789120</v>
      </c>
      <c r="B652" s="8" t="s">
        <v>1464</v>
      </c>
      <c r="C652" s="9" t="s">
        <v>21</v>
      </c>
      <c r="D652" s="8">
        <v>881114.34</v>
      </c>
      <c r="F652" t="s">
        <v>92</v>
      </c>
      <c r="G652" t="s">
        <v>1446</v>
      </c>
      <c r="H652" s="10"/>
      <c r="I652" s="10" t="s">
        <v>819</v>
      </c>
      <c r="J652" t="s">
        <v>1399</v>
      </c>
      <c r="L652" t="s">
        <v>1465</v>
      </c>
      <c r="N652" s="11" t="str">
        <f>Base_CRM[[#This Row],[Cidade]]&amp;"/"&amp;Base_CRM[[#This Row],[Estado]]</f>
        <v>Santana de Parnaíba/SP</v>
      </c>
      <c r="O652" s="12">
        <f>IFERROR(IF(Base_CRM[[#This Row],[PL Tailor]]&gt;Base_CRM[[#This Row],[PL Declarado]],1,Base_CRM[[#This Row],[PL Tailor]]/Base_CRM[[#This Row],[PL Declarado]]),0)</f>
        <v>1</v>
      </c>
      <c r="P652" s="11" t="str">
        <f>IF(Base_CRM[[#This Row],[Estado Civil]]="","PESSOA JURÍDICA","PESSOA FÍSICA")</f>
        <v>PESSOA JURÍDICA</v>
      </c>
      <c r="Q652" t="str">
        <f>_xlfn.XLOOKUP(Base_CRM[[#This Row],[Cód do Cliente]],'[1]F &amp; O'!$A:$A,'[1]F &amp; O'!$F:$F,_xlfn.XLOOKUP(Base_CRM[[#This Row],[Assessor]],[1]DePara!$A:$A,[1]DePara!$D:$D,"Outros",0,1),0,1)</f>
        <v>Leonardo Burle</v>
      </c>
      <c r="R652" s="11" t="str">
        <f>_xlfn.XLOOKUP(Base_CRM[[#This Row],[Cód do Cliente]],'[1]F &amp; O'!$A:$A,'[1]F &amp; O'!D:D,"Sem Finder",0,1)</f>
        <v>Sem Finder</v>
      </c>
      <c r="S652" s="11" t="str">
        <f>_xlfn.XLOOKUP(Base_CRM[[#This Row],[Cód do Cliente]],'[1]F &amp; O'!$A:$A,'[1]F &amp; O'!E:E,"Sem Canal",0,1)</f>
        <v>Sem Canal</v>
      </c>
      <c r="T652" s="11" t="str">
        <f t="shared" si="10"/>
        <v>Cliente XP</v>
      </c>
    </row>
    <row r="653" spans="1:20" x14ac:dyDescent="0.3">
      <c r="A653">
        <v>15158001</v>
      </c>
      <c r="B653" s="8" t="s">
        <v>1466</v>
      </c>
      <c r="C653" s="9" t="s">
        <v>103</v>
      </c>
      <c r="D653" s="8">
        <v>0</v>
      </c>
      <c r="F653" t="s">
        <v>40</v>
      </c>
      <c r="G653" t="s">
        <v>1446</v>
      </c>
      <c r="H653" s="10"/>
      <c r="I653" s="10" t="s">
        <v>1467</v>
      </c>
      <c r="J653" t="s">
        <v>1387</v>
      </c>
      <c r="L653" t="s">
        <v>1468</v>
      </c>
      <c r="N653" s="11" t="str">
        <f>Base_CRM[[#This Row],[Cidade]]&amp;"/"&amp;Base_CRM[[#This Row],[Estado]]</f>
        <v>Queimados/RJ</v>
      </c>
      <c r="O653" s="12">
        <f>IFERROR(IF(Base_CRM[[#This Row],[PL Tailor]]&gt;Base_CRM[[#This Row],[PL Declarado]],1,Base_CRM[[#This Row],[PL Tailor]]/Base_CRM[[#This Row],[PL Declarado]]),0)</f>
        <v>0</v>
      </c>
      <c r="P653" s="11" t="str">
        <f>IF(Base_CRM[[#This Row],[Estado Civil]]="","PESSOA JURÍDICA","PESSOA FÍSICA")</f>
        <v>PESSOA JURÍDICA</v>
      </c>
      <c r="Q653" t="str">
        <f>_xlfn.XLOOKUP(Base_CRM[[#This Row],[Cód do Cliente]],'[1]F &amp; O'!$A:$A,'[1]F &amp; O'!$F:$F,_xlfn.XLOOKUP(Base_CRM[[#This Row],[Assessor]],[1]DePara!$A:$A,[1]DePara!$D:$D,"Outros",0,1),0,1)</f>
        <v>Raphael Pereira</v>
      </c>
      <c r="R653" s="11" t="str">
        <f>_xlfn.XLOOKUP(Base_CRM[[#This Row],[Cód do Cliente]],'[1]F &amp; O'!$A:$A,'[1]F &amp; O'!D:D,"Sem Finder",0,1)</f>
        <v>Sem Finder</v>
      </c>
      <c r="S653" s="11" t="str">
        <f>_xlfn.XLOOKUP(Base_CRM[[#This Row],[Cód do Cliente]],'[1]F &amp; O'!$A:$A,'[1]F &amp; O'!E:E,"Sem Canal",0,1)</f>
        <v>Sem Canal</v>
      </c>
      <c r="T653" s="11" t="str">
        <f t="shared" si="10"/>
        <v>Cliente XP</v>
      </c>
    </row>
    <row r="654" spans="1:20" x14ac:dyDescent="0.3">
      <c r="A654">
        <v>16704634</v>
      </c>
      <c r="B654" s="8" t="s">
        <v>1469</v>
      </c>
      <c r="C654" s="9" t="s">
        <v>34</v>
      </c>
      <c r="D654" s="8">
        <v>803604.07</v>
      </c>
      <c r="F654" t="s">
        <v>29</v>
      </c>
      <c r="G654" t="s">
        <v>1428</v>
      </c>
      <c r="H654" s="10"/>
      <c r="I654" s="10" t="s">
        <v>31</v>
      </c>
      <c r="J654" t="s">
        <v>1399</v>
      </c>
      <c r="L654" t="s">
        <v>1470</v>
      </c>
      <c r="N654" s="11" t="str">
        <f>Base_CRM[[#This Row],[Cidade]]&amp;"/"&amp;Base_CRM[[#This Row],[Estado]]</f>
        <v>SAO PAULO/SP</v>
      </c>
      <c r="O654" s="12">
        <f>IFERROR(IF(Base_CRM[[#This Row],[PL Tailor]]&gt;Base_CRM[[#This Row],[PL Declarado]],1,Base_CRM[[#This Row],[PL Tailor]]/Base_CRM[[#This Row],[PL Declarado]]),0)</f>
        <v>1</v>
      </c>
      <c r="P654" s="11" t="str">
        <f>IF(Base_CRM[[#This Row],[Estado Civil]]="","PESSOA JURÍDICA","PESSOA FÍSICA")</f>
        <v>PESSOA JURÍDICA</v>
      </c>
      <c r="Q654" t="str">
        <f>_xlfn.XLOOKUP(Base_CRM[[#This Row],[Cód do Cliente]],'[1]F &amp; O'!$A:$A,'[1]F &amp; O'!$F:$F,_xlfn.XLOOKUP(Base_CRM[[#This Row],[Assessor]],[1]DePara!$A:$A,[1]DePara!$D:$D,"Outros",0,1),0,1)</f>
        <v>Adonias Noronha</v>
      </c>
      <c r="R654" s="11" t="str">
        <f>_xlfn.XLOOKUP(Base_CRM[[#This Row],[Cód do Cliente]],'[1]F &amp; O'!$A:$A,'[1]F &amp; O'!D:D,"Sem Finder",0,1)</f>
        <v>Sem Finder</v>
      </c>
      <c r="S654" s="11" t="str">
        <f>_xlfn.XLOOKUP(Base_CRM[[#This Row],[Cód do Cliente]],'[1]F &amp; O'!$A:$A,'[1]F &amp; O'!E:E,"Sem Canal",0,1)</f>
        <v>Sem Canal</v>
      </c>
      <c r="T654" s="11" t="str">
        <f t="shared" si="10"/>
        <v>Cliente XP</v>
      </c>
    </row>
    <row r="655" spans="1:20" x14ac:dyDescent="0.3">
      <c r="A655">
        <v>18174279</v>
      </c>
      <c r="B655" s="8" t="s">
        <v>1471</v>
      </c>
      <c r="C655" s="9" t="s">
        <v>66</v>
      </c>
      <c r="D655" s="8">
        <v>0</v>
      </c>
      <c r="F655" t="s">
        <v>29</v>
      </c>
      <c r="G655" t="s">
        <v>1472</v>
      </c>
      <c r="H655" s="10"/>
      <c r="I655" s="10" t="s">
        <v>31</v>
      </c>
      <c r="J655" t="s">
        <v>1399</v>
      </c>
      <c r="L655" t="s">
        <v>1473</v>
      </c>
      <c r="N655" s="11" t="str">
        <f>Base_CRM[[#This Row],[Cidade]]&amp;"/"&amp;Base_CRM[[#This Row],[Estado]]</f>
        <v>SAO PAULO/SP</v>
      </c>
      <c r="O655" s="12">
        <f>IFERROR(IF(Base_CRM[[#This Row],[PL Tailor]]&gt;Base_CRM[[#This Row],[PL Declarado]],1,Base_CRM[[#This Row],[PL Tailor]]/Base_CRM[[#This Row],[PL Declarado]]),0)</f>
        <v>0</v>
      </c>
      <c r="P655" s="11" t="str">
        <f>IF(Base_CRM[[#This Row],[Estado Civil]]="","PESSOA JURÍDICA","PESSOA FÍSICA")</f>
        <v>PESSOA JURÍDICA</v>
      </c>
      <c r="Q655" t="str">
        <f>_xlfn.XLOOKUP(Base_CRM[[#This Row],[Cód do Cliente]],'[1]F &amp; O'!$A:$A,'[1]F &amp; O'!$F:$F,_xlfn.XLOOKUP(Base_CRM[[#This Row],[Assessor]],[1]DePara!$A:$A,[1]DePara!$D:$D,"Outros",0,1),0,1)</f>
        <v>Caroline Vlavianos</v>
      </c>
      <c r="R655" s="11" t="str">
        <f>_xlfn.XLOOKUP(Base_CRM[[#This Row],[Cód do Cliente]],'[1]F &amp; O'!$A:$A,'[1]F &amp; O'!D:D,"Sem Finder",0,1)</f>
        <v>Sem Finder</v>
      </c>
      <c r="S655" s="11" t="str">
        <f>_xlfn.XLOOKUP(Base_CRM[[#This Row],[Cód do Cliente]],'[1]F &amp; O'!$A:$A,'[1]F &amp; O'!E:E,"Sem Canal",0,1)</f>
        <v>Sem Canal</v>
      </c>
      <c r="T655" s="11" t="str">
        <f t="shared" si="10"/>
        <v>Cliente XP</v>
      </c>
    </row>
    <row r="656" spans="1:20" x14ac:dyDescent="0.3">
      <c r="A656">
        <v>7048571</v>
      </c>
      <c r="B656" s="8" t="s">
        <v>1474</v>
      </c>
      <c r="C656" s="9" t="s">
        <v>21</v>
      </c>
      <c r="D656" s="8">
        <v>0</v>
      </c>
      <c r="F656" t="s">
        <v>40</v>
      </c>
      <c r="G656" t="s">
        <v>1475</v>
      </c>
      <c r="H656" s="10"/>
      <c r="I656" s="10" t="s">
        <v>689</v>
      </c>
      <c r="J656" t="s">
        <v>1387</v>
      </c>
      <c r="L656" t="s">
        <v>1476</v>
      </c>
      <c r="N656" s="11" t="str">
        <f>Base_CRM[[#This Row],[Cidade]]&amp;"/"&amp;Base_CRM[[#This Row],[Estado]]</f>
        <v>MACAE/RJ</v>
      </c>
      <c r="O656" s="12">
        <f>IFERROR(IF(Base_CRM[[#This Row],[PL Tailor]]&gt;Base_CRM[[#This Row],[PL Declarado]],1,Base_CRM[[#This Row],[PL Tailor]]/Base_CRM[[#This Row],[PL Declarado]]),0)</f>
        <v>0</v>
      </c>
      <c r="P656" s="11" t="str">
        <f>IF(Base_CRM[[#This Row],[Estado Civil]]="","PESSOA JURÍDICA","PESSOA FÍSICA")</f>
        <v>PESSOA JURÍDICA</v>
      </c>
      <c r="Q656" t="str">
        <f>_xlfn.XLOOKUP(Base_CRM[[#This Row],[Cód do Cliente]],'[1]F &amp; O'!$A:$A,'[1]F &amp; O'!$F:$F,_xlfn.XLOOKUP(Base_CRM[[#This Row],[Assessor]],[1]DePara!$A:$A,[1]DePara!$D:$D,"Outros",0,1),0,1)</f>
        <v>Leonardo Burle</v>
      </c>
      <c r="R656" s="11" t="str">
        <f>_xlfn.XLOOKUP(Base_CRM[[#This Row],[Cód do Cliente]],'[1]F &amp; O'!$A:$A,'[1]F &amp; O'!D:D,"Sem Finder",0,1)</f>
        <v>Sem Finder</v>
      </c>
      <c r="S656" s="11" t="str">
        <f>_xlfn.XLOOKUP(Base_CRM[[#This Row],[Cód do Cliente]],'[1]F &amp; O'!$A:$A,'[1]F &amp; O'!E:E,"Sem Canal",0,1)</f>
        <v>Sem Canal</v>
      </c>
      <c r="T656" s="11" t="str">
        <f t="shared" si="10"/>
        <v>Cliente XP</v>
      </c>
    </row>
    <row r="657" spans="1:20" x14ac:dyDescent="0.3">
      <c r="A657">
        <v>14457965</v>
      </c>
      <c r="B657" s="8" t="s">
        <v>1477</v>
      </c>
      <c r="C657" s="9" t="s">
        <v>48</v>
      </c>
      <c r="D657" s="8">
        <v>527710.99</v>
      </c>
      <c r="F657" t="s">
        <v>29</v>
      </c>
      <c r="G657" t="s">
        <v>1472</v>
      </c>
      <c r="H657" s="10"/>
      <c r="I657" s="10" t="s">
        <v>349</v>
      </c>
      <c r="J657" t="s">
        <v>1399</v>
      </c>
      <c r="L657" t="s">
        <v>1478</v>
      </c>
      <c r="N657" s="11" t="str">
        <f>Base_CRM[[#This Row],[Cidade]]&amp;"/"&amp;Base_CRM[[#This Row],[Estado]]</f>
        <v>São Paulo/SP</v>
      </c>
      <c r="O657" s="12">
        <f>IFERROR(IF(Base_CRM[[#This Row],[PL Tailor]]&gt;Base_CRM[[#This Row],[PL Declarado]],1,Base_CRM[[#This Row],[PL Tailor]]/Base_CRM[[#This Row],[PL Declarado]]),0)</f>
        <v>1</v>
      </c>
      <c r="P657" s="11" t="str">
        <f>IF(Base_CRM[[#This Row],[Estado Civil]]="","PESSOA JURÍDICA","PESSOA FÍSICA")</f>
        <v>PESSOA JURÍDICA</v>
      </c>
      <c r="Q657" t="str">
        <f>_xlfn.XLOOKUP(Base_CRM[[#This Row],[Cód do Cliente]],'[1]F &amp; O'!$A:$A,'[1]F &amp; O'!$F:$F,_xlfn.XLOOKUP(Base_CRM[[#This Row],[Assessor]],[1]DePara!$A:$A,[1]DePara!$D:$D,"Outros",0,1),0,1)</f>
        <v>Raphael Farias</v>
      </c>
      <c r="R657" s="11" t="str">
        <f>_xlfn.XLOOKUP(Base_CRM[[#This Row],[Cód do Cliente]],'[1]F &amp; O'!$A:$A,'[1]F &amp; O'!D:D,"Sem Finder",0,1)</f>
        <v>Sem Finder</v>
      </c>
      <c r="S657" s="11" t="str">
        <f>_xlfn.XLOOKUP(Base_CRM[[#This Row],[Cód do Cliente]],'[1]F &amp; O'!$A:$A,'[1]F &amp; O'!E:E,"Sem Canal",0,1)</f>
        <v>Sem Canal</v>
      </c>
      <c r="T657" s="11" t="str">
        <f t="shared" si="10"/>
        <v>Cliente XP</v>
      </c>
    </row>
    <row r="658" spans="1:20" x14ac:dyDescent="0.3">
      <c r="A658">
        <v>15658861</v>
      </c>
      <c r="B658" s="8" t="s">
        <v>1479</v>
      </c>
      <c r="C658" s="9" t="s">
        <v>48</v>
      </c>
      <c r="D658" s="8">
        <v>5333099.24</v>
      </c>
      <c r="F658" t="s">
        <v>22</v>
      </c>
      <c r="G658" t="s">
        <v>1390</v>
      </c>
      <c r="H658" s="10"/>
      <c r="I658" s="10" t="s">
        <v>31</v>
      </c>
      <c r="J658" t="s">
        <v>1399</v>
      </c>
      <c r="L658" t="s">
        <v>1480</v>
      </c>
      <c r="M658" t="s">
        <v>64</v>
      </c>
      <c r="N658" s="11" t="str">
        <f>Base_CRM[[#This Row],[Cidade]]&amp;"/"&amp;Base_CRM[[#This Row],[Estado]]</f>
        <v>SAO PAULO/SP</v>
      </c>
      <c r="O658" s="12">
        <f>IFERROR(IF(Base_CRM[[#This Row],[PL Tailor]]&gt;Base_CRM[[#This Row],[PL Declarado]],1,Base_CRM[[#This Row],[PL Tailor]]/Base_CRM[[#This Row],[PL Declarado]]),0)</f>
        <v>1</v>
      </c>
      <c r="P658" s="11" t="str">
        <f>IF(Base_CRM[[#This Row],[Estado Civil]]="","PESSOA JURÍDICA","PESSOA FÍSICA")</f>
        <v>PESSOA JURÍDICA</v>
      </c>
      <c r="Q658" t="str">
        <f>_xlfn.XLOOKUP(Base_CRM[[#This Row],[Cód do Cliente]],'[1]F &amp; O'!$A:$A,'[1]F &amp; O'!$F:$F,_xlfn.XLOOKUP(Base_CRM[[#This Row],[Assessor]],[1]DePara!$A:$A,[1]DePara!$D:$D,"Outros",0,1),0,1)</f>
        <v>Raphael Farias</v>
      </c>
      <c r="R658" s="11" t="str">
        <f>_xlfn.XLOOKUP(Base_CRM[[#This Row],[Cód do Cliente]],'[1]F &amp; O'!$A:$A,'[1]F &amp; O'!D:D,"Sem Finder",0,1)</f>
        <v>Sem Finder</v>
      </c>
      <c r="S658" s="11" t="str">
        <f>_xlfn.XLOOKUP(Base_CRM[[#This Row],[Cód do Cliente]],'[1]F &amp; O'!$A:$A,'[1]F &amp; O'!E:E,"Sem Canal",0,1)</f>
        <v>Sem Canal</v>
      </c>
      <c r="T658" s="11" t="str">
        <f t="shared" si="10"/>
        <v>Cliente XP</v>
      </c>
    </row>
    <row r="659" spans="1:20" x14ac:dyDescent="0.3">
      <c r="A659">
        <v>15266164</v>
      </c>
      <c r="B659" s="8" t="s">
        <v>1481</v>
      </c>
      <c r="C659" s="9" t="s">
        <v>34</v>
      </c>
      <c r="D659" s="8">
        <v>1311959.69</v>
      </c>
      <c r="F659" t="s">
        <v>22</v>
      </c>
      <c r="G659" t="s">
        <v>1395</v>
      </c>
      <c r="H659" s="10"/>
      <c r="I659" s="10" t="s">
        <v>31</v>
      </c>
      <c r="J659" t="s">
        <v>1399</v>
      </c>
      <c r="L659" t="s">
        <v>1482</v>
      </c>
      <c r="N659" s="11" t="str">
        <f>Base_CRM[[#This Row],[Cidade]]&amp;"/"&amp;Base_CRM[[#This Row],[Estado]]</f>
        <v>SAO PAULO/SP</v>
      </c>
      <c r="O659" s="12">
        <f>IFERROR(IF(Base_CRM[[#This Row],[PL Tailor]]&gt;Base_CRM[[#This Row],[PL Declarado]],1,Base_CRM[[#This Row],[PL Tailor]]/Base_CRM[[#This Row],[PL Declarado]]),0)</f>
        <v>1</v>
      </c>
      <c r="P659" s="11" t="str">
        <f>IF(Base_CRM[[#This Row],[Estado Civil]]="","PESSOA JURÍDICA","PESSOA FÍSICA")</f>
        <v>PESSOA JURÍDICA</v>
      </c>
      <c r="Q659" t="str">
        <f>_xlfn.XLOOKUP(Base_CRM[[#This Row],[Cód do Cliente]],'[1]F &amp; O'!$A:$A,'[1]F &amp; O'!$F:$F,_xlfn.XLOOKUP(Base_CRM[[#This Row],[Assessor]],[1]DePara!$A:$A,[1]DePara!$D:$D,"Outros",0,1),0,1)</f>
        <v>Adonias Noronha</v>
      </c>
      <c r="R659" s="11" t="str">
        <f>_xlfn.XLOOKUP(Base_CRM[[#This Row],[Cód do Cliente]],'[1]F &amp; O'!$A:$A,'[1]F &amp; O'!D:D,"Sem Finder",0,1)</f>
        <v>Sem Finder</v>
      </c>
      <c r="S659" s="11" t="str">
        <f>_xlfn.XLOOKUP(Base_CRM[[#This Row],[Cód do Cliente]],'[1]F &amp; O'!$A:$A,'[1]F &amp; O'!E:E,"Sem Canal",0,1)</f>
        <v>Sem Canal</v>
      </c>
      <c r="T659" s="11" t="str">
        <f t="shared" si="10"/>
        <v>Cliente XP</v>
      </c>
    </row>
    <row r="660" spans="1:20" x14ac:dyDescent="0.3">
      <c r="A660">
        <v>2513179</v>
      </c>
      <c r="B660" s="8" t="s">
        <v>1483</v>
      </c>
      <c r="C660" s="9" t="s">
        <v>21</v>
      </c>
      <c r="D660" s="8">
        <v>9940337.2599999998</v>
      </c>
      <c r="F660" t="s">
        <v>29</v>
      </c>
      <c r="G660" t="s">
        <v>1382</v>
      </c>
      <c r="H660" s="10"/>
      <c r="I660" s="10" t="s">
        <v>24</v>
      </c>
      <c r="J660" t="s">
        <v>1387</v>
      </c>
      <c r="L660" t="s">
        <v>1484</v>
      </c>
      <c r="M660" t="s">
        <v>64</v>
      </c>
      <c r="N660" s="11" t="str">
        <f>Base_CRM[[#This Row],[Cidade]]&amp;"/"&amp;Base_CRM[[#This Row],[Estado]]</f>
        <v>RIO DE JANEIRO/RJ</v>
      </c>
      <c r="O660" s="12">
        <f>IFERROR(IF(Base_CRM[[#This Row],[PL Tailor]]&gt;Base_CRM[[#This Row],[PL Declarado]],1,Base_CRM[[#This Row],[PL Tailor]]/Base_CRM[[#This Row],[PL Declarado]]),0)</f>
        <v>1</v>
      </c>
      <c r="P660" s="11" t="str">
        <f>IF(Base_CRM[[#This Row],[Estado Civil]]="","PESSOA JURÍDICA","PESSOA FÍSICA")</f>
        <v>PESSOA JURÍDICA</v>
      </c>
      <c r="Q660" t="str">
        <f>_xlfn.XLOOKUP(Base_CRM[[#This Row],[Cód do Cliente]],'[1]F &amp; O'!$A:$A,'[1]F &amp; O'!$F:$F,_xlfn.XLOOKUP(Base_CRM[[#This Row],[Assessor]],[1]DePara!$A:$A,[1]DePara!$D:$D,"Outros",0,1),0,1)</f>
        <v>Leonardo Burle</v>
      </c>
      <c r="R660" s="11" t="str">
        <f>_xlfn.XLOOKUP(Base_CRM[[#This Row],[Cód do Cliente]],'[1]F &amp; O'!$A:$A,'[1]F &amp; O'!D:D,"Sem Finder",0,1)</f>
        <v>Sem Finder</v>
      </c>
      <c r="S660" s="11" t="str">
        <f>_xlfn.XLOOKUP(Base_CRM[[#This Row],[Cód do Cliente]],'[1]F &amp; O'!$A:$A,'[1]F &amp; O'!E:E,"Sem Canal",0,1)</f>
        <v>Sem Canal</v>
      </c>
      <c r="T660" s="11" t="str">
        <f t="shared" si="10"/>
        <v>Cliente XP</v>
      </c>
    </row>
    <row r="661" spans="1:20" x14ac:dyDescent="0.3">
      <c r="A661">
        <v>12394334</v>
      </c>
      <c r="B661" s="8" t="s">
        <v>1485</v>
      </c>
      <c r="C661" s="9" t="s">
        <v>74</v>
      </c>
      <c r="D661" s="8">
        <v>0</v>
      </c>
      <c r="F661" t="s">
        <v>40</v>
      </c>
      <c r="G661" t="s">
        <v>1386</v>
      </c>
      <c r="H661" s="10"/>
      <c r="I661" s="10" t="s">
        <v>639</v>
      </c>
      <c r="J661" t="s">
        <v>1399</v>
      </c>
      <c r="L661" t="s">
        <v>1486</v>
      </c>
      <c r="N661" s="11" t="str">
        <f>Base_CRM[[#This Row],[Cidade]]&amp;"/"&amp;Base_CRM[[#This Row],[Estado]]</f>
        <v>CAMPINAS/SP</v>
      </c>
      <c r="O661" s="12">
        <f>IFERROR(IF(Base_CRM[[#This Row],[PL Tailor]]&gt;Base_CRM[[#This Row],[PL Declarado]],1,Base_CRM[[#This Row],[PL Tailor]]/Base_CRM[[#This Row],[PL Declarado]]),0)</f>
        <v>0</v>
      </c>
      <c r="P661" s="11" t="str">
        <f>IF(Base_CRM[[#This Row],[Estado Civil]]="","PESSOA JURÍDICA","PESSOA FÍSICA")</f>
        <v>PESSOA JURÍDICA</v>
      </c>
      <c r="Q661" t="str">
        <f>_xlfn.XLOOKUP(Base_CRM[[#This Row],[Cód do Cliente]],'[1]F &amp; O'!$A:$A,'[1]F &amp; O'!$F:$F,_xlfn.XLOOKUP(Base_CRM[[#This Row],[Assessor]],[1]DePara!$A:$A,[1]DePara!$D:$D,"Outros",0,1),0,1)</f>
        <v>Thayane Freitas</v>
      </c>
      <c r="R661" s="11" t="str">
        <f>_xlfn.XLOOKUP(Base_CRM[[#This Row],[Cód do Cliente]],'[1]F &amp; O'!$A:$A,'[1]F &amp; O'!D:D,"Sem Finder",0,1)</f>
        <v>Sem Finder</v>
      </c>
      <c r="S661" s="11" t="str">
        <f>_xlfn.XLOOKUP(Base_CRM[[#This Row],[Cód do Cliente]],'[1]F &amp; O'!$A:$A,'[1]F &amp; O'!E:E,"Sem Canal",0,1)</f>
        <v>Sem Canal</v>
      </c>
      <c r="T661" s="11" t="str">
        <f t="shared" si="10"/>
        <v>Cliente XP</v>
      </c>
    </row>
    <row r="662" spans="1:20" x14ac:dyDescent="0.3">
      <c r="A662">
        <v>12019847</v>
      </c>
      <c r="B662" s="8" t="s">
        <v>1487</v>
      </c>
      <c r="C662" s="9" t="s">
        <v>74</v>
      </c>
      <c r="D662" s="8">
        <v>0</v>
      </c>
      <c r="F662" t="s">
        <v>29</v>
      </c>
      <c r="G662" t="s">
        <v>1395</v>
      </c>
      <c r="H662" s="10"/>
      <c r="I662" s="10" t="s">
        <v>454</v>
      </c>
      <c r="J662" t="s">
        <v>1425</v>
      </c>
      <c r="L662" t="s">
        <v>1488</v>
      </c>
      <c r="N662" s="11" t="str">
        <f>Base_CRM[[#This Row],[Cidade]]&amp;"/"&amp;Base_CRM[[#This Row],[Estado]]</f>
        <v>RECIFE/PE</v>
      </c>
      <c r="O662" s="12">
        <f>IFERROR(IF(Base_CRM[[#This Row],[PL Tailor]]&gt;Base_CRM[[#This Row],[PL Declarado]],1,Base_CRM[[#This Row],[PL Tailor]]/Base_CRM[[#This Row],[PL Declarado]]),0)</f>
        <v>0</v>
      </c>
      <c r="P662" s="11" t="str">
        <f>IF(Base_CRM[[#This Row],[Estado Civil]]="","PESSOA JURÍDICA","PESSOA FÍSICA")</f>
        <v>PESSOA JURÍDICA</v>
      </c>
      <c r="Q662" t="str">
        <f>_xlfn.XLOOKUP(Base_CRM[[#This Row],[Cód do Cliente]],'[1]F &amp; O'!$A:$A,'[1]F &amp; O'!$F:$F,_xlfn.XLOOKUP(Base_CRM[[#This Row],[Assessor]],[1]DePara!$A:$A,[1]DePara!$D:$D,"Outros",0,1),0,1)</f>
        <v>Thayane Freitas</v>
      </c>
      <c r="R662" s="11" t="str">
        <f>_xlfn.XLOOKUP(Base_CRM[[#This Row],[Cód do Cliente]],'[1]F &amp; O'!$A:$A,'[1]F &amp; O'!D:D,"Sem Finder",0,1)</f>
        <v>Sem Finder</v>
      </c>
      <c r="S662" s="11" t="str">
        <f>_xlfn.XLOOKUP(Base_CRM[[#This Row],[Cód do Cliente]],'[1]F &amp; O'!$A:$A,'[1]F &amp; O'!E:E,"Sem Canal",0,1)</f>
        <v>Sem Canal</v>
      </c>
      <c r="T662" s="11" t="str">
        <f t="shared" si="10"/>
        <v>Cliente XP</v>
      </c>
    </row>
    <row r="663" spans="1:20" x14ac:dyDescent="0.3">
      <c r="A663">
        <v>13657403</v>
      </c>
      <c r="B663" s="8" t="s">
        <v>1489</v>
      </c>
      <c r="C663" s="9" t="s">
        <v>74</v>
      </c>
      <c r="D663" s="8">
        <v>0</v>
      </c>
      <c r="F663" t="s">
        <v>40</v>
      </c>
      <c r="G663" t="s">
        <v>1446</v>
      </c>
      <c r="H663" s="10"/>
      <c r="I663" s="10" t="s">
        <v>24</v>
      </c>
      <c r="J663" t="s">
        <v>1387</v>
      </c>
      <c r="L663" t="s">
        <v>1490</v>
      </c>
      <c r="N663" s="11" t="str">
        <f>Base_CRM[[#This Row],[Cidade]]&amp;"/"&amp;Base_CRM[[#This Row],[Estado]]</f>
        <v>RIO DE JANEIRO/RJ</v>
      </c>
      <c r="O663" s="12">
        <f>IFERROR(IF(Base_CRM[[#This Row],[PL Tailor]]&gt;Base_CRM[[#This Row],[PL Declarado]],1,Base_CRM[[#This Row],[PL Tailor]]/Base_CRM[[#This Row],[PL Declarado]]),0)</f>
        <v>0</v>
      </c>
      <c r="P663" s="11" t="str">
        <f>IF(Base_CRM[[#This Row],[Estado Civil]]="","PESSOA JURÍDICA","PESSOA FÍSICA")</f>
        <v>PESSOA JURÍDICA</v>
      </c>
      <c r="Q663" t="str">
        <f>_xlfn.XLOOKUP(Base_CRM[[#This Row],[Cód do Cliente]],'[1]F &amp; O'!$A:$A,'[1]F &amp; O'!$F:$F,_xlfn.XLOOKUP(Base_CRM[[#This Row],[Assessor]],[1]DePara!$A:$A,[1]DePara!$D:$D,"Outros",0,1),0,1)</f>
        <v>Thayane Freitas</v>
      </c>
      <c r="R663" s="11" t="str">
        <f>_xlfn.XLOOKUP(Base_CRM[[#This Row],[Cód do Cliente]],'[1]F &amp; O'!$A:$A,'[1]F &amp; O'!D:D,"Sem Finder",0,1)</f>
        <v>Sem Finder</v>
      </c>
      <c r="S663" s="11" t="str">
        <f>_xlfn.XLOOKUP(Base_CRM[[#This Row],[Cód do Cliente]],'[1]F &amp; O'!$A:$A,'[1]F &amp; O'!E:E,"Sem Canal",0,1)</f>
        <v>Sem Canal</v>
      </c>
      <c r="T663" s="11" t="str">
        <f t="shared" si="10"/>
        <v>Cliente XP</v>
      </c>
    </row>
    <row r="664" spans="1:20" x14ac:dyDescent="0.3">
      <c r="A664">
        <v>16955253</v>
      </c>
      <c r="B664" s="8" t="s">
        <v>1491</v>
      </c>
      <c r="C664" s="9" t="s">
        <v>103</v>
      </c>
      <c r="D664" s="8">
        <v>254352.93</v>
      </c>
      <c r="F664" t="s">
        <v>22</v>
      </c>
      <c r="G664" t="s">
        <v>1382</v>
      </c>
      <c r="H664" s="10"/>
      <c r="I664" s="10" t="s">
        <v>31</v>
      </c>
      <c r="J664" t="s">
        <v>1399</v>
      </c>
      <c r="L664" t="s">
        <v>1492</v>
      </c>
      <c r="N664" s="11" t="str">
        <f>Base_CRM[[#This Row],[Cidade]]&amp;"/"&amp;Base_CRM[[#This Row],[Estado]]</f>
        <v>SAO PAULO/SP</v>
      </c>
      <c r="O664" s="12">
        <f>IFERROR(IF(Base_CRM[[#This Row],[PL Tailor]]&gt;Base_CRM[[#This Row],[PL Declarado]],1,Base_CRM[[#This Row],[PL Tailor]]/Base_CRM[[#This Row],[PL Declarado]]),0)</f>
        <v>1</v>
      </c>
      <c r="P664" s="11" t="str">
        <f>IF(Base_CRM[[#This Row],[Estado Civil]]="","PESSOA JURÍDICA","PESSOA FÍSICA")</f>
        <v>PESSOA JURÍDICA</v>
      </c>
      <c r="Q664" t="str">
        <f>_xlfn.XLOOKUP(Base_CRM[[#This Row],[Cód do Cliente]],'[1]F &amp; O'!$A:$A,'[1]F &amp; O'!$F:$F,_xlfn.XLOOKUP(Base_CRM[[#This Row],[Assessor]],[1]DePara!$A:$A,[1]DePara!$D:$D,"Outros",0,1),0,1)</f>
        <v>Raphael Pereira</v>
      </c>
      <c r="R664" s="11" t="str">
        <f>_xlfn.XLOOKUP(Base_CRM[[#This Row],[Cód do Cliente]],'[1]F &amp; O'!$A:$A,'[1]F &amp; O'!D:D,"Sem Finder",0,1)</f>
        <v>Sem Finder</v>
      </c>
      <c r="S664" s="11" t="str">
        <f>_xlfn.XLOOKUP(Base_CRM[[#This Row],[Cód do Cliente]],'[1]F &amp; O'!$A:$A,'[1]F &amp; O'!E:E,"Sem Canal",0,1)</f>
        <v>Sem Canal</v>
      </c>
      <c r="T664" s="11" t="str">
        <f t="shared" si="10"/>
        <v>Cliente XP</v>
      </c>
    </row>
    <row r="665" spans="1:20" x14ac:dyDescent="0.3">
      <c r="A665">
        <v>9013525</v>
      </c>
      <c r="B665" s="8" t="s">
        <v>1493</v>
      </c>
      <c r="C665" s="9" t="s">
        <v>48</v>
      </c>
      <c r="D665" s="8">
        <v>6477005.2699999996</v>
      </c>
      <c r="F665" t="s">
        <v>22</v>
      </c>
      <c r="G665" t="s">
        <v>1386</v>
      </c>
      <c r="H665" s="10"/>
      <c r="I665" s="10" t="s">
        <v>1494</v>
      </c>
      <c r="J665" t="s">
        <v>1495</v>
      </c>
      <c r="L665" t="s">
        <v>1496</v>
      </c>
      <c r="N665" s="11" t="str">
        <f>Base_CRM[[#This Row],[Cidade]]&amp;"/"&amp;Base_CRM[[#This Row],[Estado]]</f>
        <v>PICOS/PI</v>
      </c>
      <c r="O665" s="12">
        <f>IFERROR(IF(Base_CRM[[#This Row],[PL Tailor]]&gt;Base_CRM[[#This Row],[PL Declarado]],1,Base_CRM[[#This Row],[PL Tailor]]/Base_CRM[[#This Row],[PL Declarado]]),0)</f>
        <v>1</v>
      </c>
      <c r="P665" s="11" t="str">
        <f>IF(Base_CRM[[#This Row],[Estado Civil]]="","PESSOA JURÍDICA","PESSOA FÍSICA")</f>
        <v>PESSOA JURÍDICA</v>
      </c>
      <c r="Q665" t="str">
        <f>_xlfn.XLOOKUP(Base_CRM[[#This Row],[Cód do Cliente]],'[1]F &amp; O'!$A:$A,'[1]F &amp; O'!$F:$F,_xlfn.XLOOKUP(Base_CRM[[#This Row],[Assessor]],[1]DePara!$A:$A,[1]DePara!$D:$D,"Outros",0,1),0,1)</f>
        <v>Raphael Farias</v>
      </c>
      <c r="R665" s="11" t="str">
        <f>_xlfn.XLOOKUP(Base_CRM[[#This Row],[Cód do Cliente]],'[1]F &amp; O'!$A:$A,'[1]F &amp; O'!D:D,"Sem Finder",0,1)</f>
        <v>Sem Finder</v>
      </c>
      <c r="S665" s="11" t="str">
        <f>_xlfn.XLOOKUP(Base_CRM[[#This Row],[Cód do Cliente]],'[1]F &amp; O'!$A:$A,'[1]F &amp; O'!E:E,"Sem Canal",0,1)</f>
        <v>Sem Canal</v>
      </c>
      <c r="T665" s="11" t="str">
        <f t="shared" si="10"/>
        <v>Cliente XP</v>
      </c>
    </row>
    <row r="666" spans="1:20" x14ac:dyDescent="0.3">
      <c r="A666">
        <v>14990939</v>
      </c>
      <c r="B666" s="8" t="s">
        <v>1493</v>
      </c>
      <c r="C666" s="9" t="s">
        <v>48</v>
      </c>
      <c r="D666" s="8">
        <v>2777784.58</v>
      </c>
      <c r="F666" t="s">
        <v>29</v>
      </c>
      <c r="G666" t="s">
        <v>1386</v>
      </c>
      <c r="H666" s="10"/>
      <c r="I666" s="10" t="s">
        <v>397</v>
      </c>
      <c r="J666" t="s">
        <v>1495</v>
      </c>
      <c r="L666" t="s">
        <v>1497</v>
      </c>
      <c r="N666" s="11" t="str">
        <f>Base_CRM[[#This Row],[Cidade]]&amp;"/"&amp;Base_CRM[[#This Row],[Estado]]</f>
        <v>TERESINA/PI</v>
      </c>
      <c r="O666" s="12">
        <f>IFERROR(IF(Base_CRM[[#This Row],[PL Tailor]]&gt;Base_CRM[[#This Row],[PL Declarado]],1,Base_CRM[[#This Row],[PL Tailor]]/Base_CRM[[#This Row],[PL Declarado]]),0)</f>
        <v>1</v>
      </c>
      <c r="P666" s="11" t="str">
        <f>IF(Base_CRM[[#This Row],[Estado Civil]]="","PESSOA JURÍDICA","PESSOA FÍSICA")</f>
        <v>PESSOA JURÍDICA</v>
      </c>
      <c r="Q666" t="str">
        <f>_xlfn.XLOOKUP(Base_CRM[[#This Row],[Cód do Cliente]],'[1]F &amp; O'!$A:$A,'[1]F &amp; O'!$F:$F,_xlfn.XLOOKUP(Base_CRM[[#This Row],[Assessor]],[1]DePara!$A:$A,[1]DePara!$D:$D,"Outros",0,1),0,1)</f>
        <v>Raphael Farias</v>
      </c>
      <c r="R666" s="11" t="str">
        <f>_xlfn.XLOOKUP(Base_CRM[[#This Row],[Cód do Cliente]],'[1]F &amp; O'!$A:$A,'[1]F &amp; O'!D:D,"Sem Finder",0,1)</f>
        <v>Sem Finder</v>
      </c>
      <c r="S666" s="11" t="str">
        <f>_xlfn.XLOOKUP(Base_CRM[[#This Row],[Cód do Cliente]],'[1]F &amp; O'!$A:$A,'[1]F &amp; O'!E:E,"Sem Canal",0,1)</f>
        <v>Sem Canal</v>
      </c>
      <c r="T666" s="11" t="str">
        <f t="shared" si="10"/>
        <v>Cliente XP</v>
      </c>
    </row>
    <row r="667" spans="1:20" x14ac:dyDescent="0.3">
      <c r="A667">
        <v>9013898</v>
      </c>
      <c r="B667" s="8" t="s">
        <v>1498</v>
      </c>
      <c r="C667" s="9" t="s">
        <v>39</v>
      </c>
      <c r="D667" s="8">
        <v>1035743.63</v>
      </c>
      <c r="F667" t="s">
        <v>40</v>
      </c>
      <c r="G667" t="s">
        <v>1382</v>
      </c>
      <c r="H667" s="10"/>
      <c r="I667" s="10" t="s">
        <v>31</v>
      </c>
      <c r="J667" t="s">
        <v>1399</v>
      </c>
      <c r="L667" t="s">
        <v>1499</v>
      </c>
      <c r="N667" s="11" t="str">
        <f>Base_CRM[[#This Row],[Cidade]]&amp;"/"&amp;Base_CRM[[#This Row],[Estado]]</f>
        <v>SAO PAULO/SP</v>
      </c>
      <c r="O667" s="12">
        <f>IFERROR(IF(Base_CRM[[#This Row],[PL Tailor]]&gt;Base_CRM[[#This Row],[PL Declarado]],1,Base_CRM[[#This Row],[PL Tailor]]/Base_CRM[[#This Row],[PL Declarado]]),0)</f>
        <v>1</v>
      </c>
      <c r="P667" s="11" t="str">
        <f>IF(Base_CRM[[#This Row],[Estado Civil]]="","PESSOA JURÍDICA","PESSOA FÍSICA")</f>
        <v>PESSOA JURÍDICA</v>
      </c>
      <c r="Q667" t="str">
        <f>_xlfn.XLOOKUP(Base_CRM[[#This Row],[Cód do Cliente]],'[1]F &amp; O'!$A:$A,'[1]F &amp; O'!$F:$F,_xlfn.XLOOKUP(Base_CRM[[#This Row],[Assessor]],[1]DePara!$A:$A,[1]DePara!$D:$D,"Outros",0,1),0,1)</f>
        <v>Gestora</v>
      </c>
      <c r="R667" s="11" t="str">
        <f>_xlfn.XLOOKUP(Base_CRM[[#This Row],[Cód do Cliente]],'[1]F &amp; O'!$A:$A,'[1]F &amp; O'!D:D,"Sem Finder",0,1)</f>
        <v>Sem Finder</v>
      </c>
      <c r="S667" s="11" t="str">
        <f>_xlfn.XLOOKUP(Base_CRM[[#This Row],[Cód do Cliente]],'[1]F &amp; O'!$A:$A,'[1]F &amp; O'!E:E,"Sem Canal",0,1)</f>
        <v>Gestora</v>
      </c>
      <c r="T667" s="11" t="str">
        <f t="shared" si="10"/>
        <v>Cliente XP</v>
      </c>
    </row>
    <row r="668" spans="1:20" x14ac:dyDescent="0.3">
      <c r="A668">
        <v>12166430</v>
      </c>
      <c r="B668" s="8" t="s">
        <v>1500</v>
      </c>
      <c r="C668" s="9" t="s">
        <v>66</v>
      </c>
      <c r="D668" s="8">
        <v>492351.09</v>
      </c>
      <c r="F668" t="s">
        <v>29</v>
      </c>
      <c r="G668" t="s">
        <v>1390</v>
      </c>
      <c r="H668" s="10"/>
      <c r="I668" s="10" t="s">
        <v>1501</v>
      </c>
      <c r="J668" t="s">
        <v>1399</v>
      </c>
      <c r="L668" t="s">
        <v>1502</v>
      </c>
      <c r="M668" t="s">
        <v>64</v>
      </c>
      <c r="N668" s="11" t="str">
        <f>Base_CRM[[#This Row],[Cidade]]&amp;"/"&amp;Base_CRM[[#This Row],[Estado]]</f>
        <v>ARACARIGUAMA/SP</v>
      </c>
      <c r="O668" s="12">
        <f>IFERROR(IF(Base_CRM[[#This Row],[PL Tailor]]&gt;Base_CRM[[#This Row],[PL Declarado]],1,Base_CRM[[#This Row],[PL Tailor]]/Base_CRM[[#This Row],[PL Declarado]]),0)</f>
        <v>1</v>
      </c>
      <c r="P668" s="11" t="str">
        <f>IF(Base_CRM[[#This Row],[Estado Civil]]="","PESSOA JURÍDICA","PESSOA FÍSICA")</f>
        <v>PESSOA JURÍDICA</v>
      </c>
      <c r="Q668" t="str">
        <f>_xlfn.XLOOKUP(Base_CRM[[#This Row],[Cód do Cliente]],'[1]F &amp; O'!$A:$A,'[1]F &amp; O'!$F:$F,_xlfn.XLOOKUP(Base_CRM[[#This Row],[Assessor]],[1]DePara!$A:$A,[1]DePara!$D:$D,"Outros",0,1),0,1)</f>
        <v>Caroline Vlavianos</v>
      </c>
      <c r="R668" s="11" t="str">
        <f>_xlfn.XLOOKUP(Base_CRM[[#This Row],[Cód do Cliente]],'[1]F &amp; O'!$A:$A,'[1]F &amp; O'!D:D,"Sem Finder",0,1)</f>
        <v>Sem Finder</v>
      </c>
      <c r="S668" s="11" t="str">
        <f>_xlfn.XLOOKUP(Base_CRM[[#This Row],[Cód do Cliente]],'[1]F &amp; O'!$A:$A,'[1]F &amp; O'!E:E,"Sem Canal",0,1)</f>
        <v>Sem Canal</v>
      </c>
      <c r="T668" s="11" t="str">
        <f t="shared" si="10"/>
        <v>Cliente XP</v>
      </c>
    </row>
    <row r="669" spans="1:20" x14ac:dyDescent="0.3">
      <c r="A669">
        <v>16042614</v>
      </c>
      <c r="B669" s="8" t="s">
        <v>1503</v>
      </c>
      <c r="C669" s="9" t="s">
        <v>103</v>
      </c>
      <c r="D669" s="8">
        <v>0</v>
      </c>
      <c r="F669" t="s">
        <v>29</v>
      </c>
      <c r="G669" t="s">
        <v>1390</v>
      </c>
      <c r="H669" s="10"/>
      <c r="I669" s="10" t="s">
        <v>62</v>
      </c>
      <c r="J669" t="s">
        <v>1387</v>
      </c>
      <c r="L669" t="s">
        <v>1504</v>
      </c>
      <c r="N669" s="11" t="str">
        <f>Base_CRM[[#This Row],[Cidade]]&amp;"/"&amp;Base_CRM[[#This Row],[Estado]]</f>
        <v>Rio de Janeiro/RJ</v>
      </c>
      <c r="O669" s="12">
        <f>IFERROR(IF(Base_CRM[[#This Row],[PL Tailor]]&gt;Base_CRM[[#This Row],[PL Declarado]],1,Base_CRM[[#This Row],[PL Tailor]]/Base_CRM[[#This Row],[PL Declarado]]),0)</f>
        <v>0</v>
      </c>
      <c r="P669" s="11" t="str">
        <f>IF(Base_CRM[[#This Row],[Estado Civil]]="","PESSOA JURÍDICA","PESSOA FÍSICA")</f>
        <v>PESSOA JURÍDICA</v>
      </c>
      <c r="Q669" t="str">
        <f>_xlfn.XLOOKUP(Base_CRM[[#This Row],[Cód do Cliente]],'[1]F &amp; O'!$A:$A,'[1]F &amp; O'!$F:$F,_xlfn.XLOOKUP(Base_CRM[[#This Row],[Assessor]],[1]DePara!$A:$A,[1]DePara!$D:$D,"Outros",0,1),0,1)</f>
        <v>Raphael Pereira</v>
      </c>
      <c r="R669" s="11" t="str">
        <f>_xlfn.XLOOKUP(Base_CRM[[#This Row],[Cód do Cliente]],'[1]F &amp; O'!$A:$A,'[1]F &amp; O'!D:D,"Sem Finder",0,1)</f>
        <v>Sem Finder</v>
      </c>
      <c r="S669" s="11" t="str">
        <f>_xlfn.XLOOKUP(Base_CRM[[#This Row],[Cód do Cliente]],'[1]F &amp; O'!$A:$A,'[1]F &amp; O'!E:E,"Sem Canal",0,1)</f>
        <v>Sem Canal</v>
      </c>
      <c r="T669" s="11" t="str">
        <f t="shared" si="10"/>
        <v>Cliente XP</v>
      </c>
    </row>
    <row r="670" spans="1:20" x14ac:dyDescent="0.3">
      <c r="A670">
        <v>16883000</v>
      </c>
      <c r="B670" s="8" t="s">
        <v>1505</v>
      </c>
      <c r="C670" s="9" t="s">
        <v>21</v>
      </c>
      <c r="D670" s="8">
        <v>458546.57</v>
      </c>
      <c r="F670" t="s">
        <v>22</v>
      </c>
      <c r="G670" t="s">
        <v>1390</v>
      </c>
      <c r="H670" s="10"/>
      <c r="I670" s="10" t="s">
        <v>285</v>
      </c>
      <c r="J670" t="s">
        <v>1399</v>
      </c>
      <c r="L670" t="s">
        <v>1506</v>
      </c>
      <c r="M670" t="s">
        <v>64</v>
      </c>
      <c r="N670" s="11" t="str">
        <f>Base_CRM[[#This Row],[Cidade]]&amp;"/"&amp;Base_CRM[[#This Row],[Estado]]</f>
        <v>SANTANA DE PARNAIBA/SP</v>
      </c>
      <c r="O670" s="12">
        <f>IFERROR(IF(Base_CRM[[#This Row],[PL Tailor]]&gt;Base_CRM[[#This Row],[PL Declarado]],1,Base_CRM[[#This Row],[PL Tailor]]/Base_CRM[[#This Row],[PL Declarado]]),0)</f>
        <v>1</v>
      </c>
      <c r="P670" s="11" t="str">
        <f>IF(Base_CRM[[#This Row],[Estado Civil]]="","PESSOA JURÍDICA","PESSOA FÍSICA")</f>
        <v>PESSOA JURÍDICA</v>
      </c>
      <c r="Q670" t="str">
        <f>_xlfn.XLOOKUP(Base_CRM[[#This Row],[Cód do Cliente]],'[1]F &amp; O'!$A:$A,'[1]F &amp; O'!$F:$F,_xlfn.XLOOKUP(Base_CRM[[#This Row],[Assessor]],[1]DePara!$A:$A,[1]DePara!$D:$D,"Outros",0,1),0,1)</f>
        <v>Leonardo Burle</v>
      </c>
      <c r="R670" s="11" t="str">
        <f>_xlfn.XLOOKUP(Base_CRM[[#This Row],[Cód do Cliente]],'[1]F &amp; O'!$A:$A,'[1]F &amp; O'!D:D,"Sem Finder",0,1)</f>
        <v>Sem Finder</v>
      </c>
      <c r="S670" s="11" t="str">
        <f>_xlfn.XLOOKUP(Base_CRM[[#This Row],[Cód do Cliente]],'[1]F &amp; O'!$A:$A,'[1]F &amp; O'!E:E,"Sem Canal",0,1)</f>
        <v>Sem Canal</v>
      </c>
      <c r="T670" s="11" t="str">
        <f t="shared" si="10"/>
        <v>Cliente XP</v>
      </c>
    </row>
    <row r="671" spans="1:20" x14ac:dyDescent="0.3">
      <c r="A671">
        <v>5540963</v>
      </c>
      <c r="B671" s="8" t="s">
        <v>1505</v>
      </c>
      <c r="C671" s="9" t="s">
        <v>21</v>
      </c>
      <c r="D671" s="8">
        <v>3283337.79</v>
      </c>
      <c r="F671" t="s">
        <v>22</v>
      </c>
      <c r="G671" t="s">
        <v>1390</v>
      </c>
      <c r="H671" s="10"/>
      <c r="I671" s="10" t="s">
        <v>285</v>
      </c>
      <c r="J671" t="s">
        <v>1399</v>
      </c>
      <c r="L671" t="s">
        <v>1506</v>
      </c>
      <c r="M671" t="s">
        <v>64</v>
      </c>
      <c r="N671" s="11" t="str">
        <f>Base_CRM[[#This Row],[Cidade]]&amp;"/"&amp;Base_CRM[[#This Row],[Estado]]</f>
        <v>SANTANA DE PARNAIBA/SP</v>
      </c>
      <c r="O671" s="12">
        <f>IFERROR(IF(Base_CRM[[#This Row],[PL Tailor]]&gt;Base_CRM[[#This Row],[PL Declarado]],1,Base_CRM[[#This Row],[PL Tailor]]/Base_CRM[[#This Row],[PL Declarado]]),0)</f>
        <v>1</v>
      </c>
      <c r="P671" s="11" t="str">
        <f>IF(Base_CRM[[#This Row],[Estado Civil]]="","PESSOA JURÍDICA","PESSOA FÍSICA")</f>
        <v>PESSOA JURÍDICA</v>
      </c>
      <c r="Q671" t="str">
        <f>_xlfn.XLOOKUP(Base_CRM[[#This Row],[Cód do Cliente]],'[1]F &amp; O'!$A:$A,'[1]F &amp; O'!$F:$F,_xlfn.XLOOKUP(Base_CRM[[#This Row],[Assessor]],[1]DePara!$A:$A,[1]DePara!$D:$D,"Outros",0,1),0,1)</f>
        <v>Leonardo Burle</v>
      </c>
      <c r="R671" s="11" t="str">
        <f>_xlfn.XLOOKUP(Base_CRM[[#This Row],[Cód do Cliente]],'[1]F &amp; O'!$A:$A,'[1]F &amp; O'!D:D,"Sem Finder",0,1)</f>
        <v>Sem Finder</v>
      </c>
      <c r="S671" s="11" t="str">
        <f>_xlfn.XLOOKUP(Base_CRM[[#This Row],[Cód do Cliente]],'[1]F &amp; O'!$A:$A,'[1]F &amp; O'!E:E,"Sem Canal",0,1)</f>
        <v>Sem Canal</v>
      </c>
      <c r="T671" s="11" t="str">
        <f t="shared" si="10"/>
        <v>Cliente XP</v>
      </c>
    </row>
    <row r="672" spans="1:20" x14ac:dyDescent="0.3">
      <c r="A672">
        <v>5532720</v>
      </c>
      <c r="B672" s="8" t="s">
        <v>1507</v>
      </c>
      <c r="C672" s="9" t="s">
        <v>103</v>
      </c>
      <c r="D672" s="8">
        <v>0</v>
      </c>
      <c r="F672" t="s">
        <v>92</v>
      </c>
      <c r="G672" t="s">
        <v>1382</v>
      </c>
      <c r="H672" s="10"/>
      <c r="I672" s="10" t="s">
        <v>62</v>
      </c>
      <c r="J672" t="s">
        <v>1387</v>
      </c>
      <c r="L672" t="s">
        <v>1508</v>
      </c>
      <c r="N672" s="11" t="str">
        <f>Base_CRM[[#This Row],[Cidade]]&amp;"/"&amp;Base_CRM[[#This Row],[Estado]]</f>
        <v>Rio de Janeiro/RJ</v>
      </c>
      <c r="O672" s="12">
        <f>IFERROR(IF(Base_CRM[[#This Row],[PL Tailor]]&gt;Base_CRM[[#This Row],[PL Declarado]],1,Base_CRM[[#This Row],[PL Tailor]]/Base_CRM[[#This Row],[PL Declarado]]),0)</f>
        <v>0</v>
      </c>
      <c r="P672" s="11" t="str">
        <f>IF(Base_CRM[[#This Row],[Estado Civil]]="","PESSOA JURÍDICA","PESSOA FÍSICA")</f>
        <v>PESSOA JURÍDICA</v>
      </c>
      <c r="Q672" t="str">
        <f>_xlfn.XLOOKUP(Base_CRM[[#This Row],[Cód do Cliente]],'[1]F &amp; O'!$A:$A,'[1]F &amp; O'!$F:$F,_xlfn.XLOOKUP(Base_CRM[[#This Row],[Assessor]],[1]DePara!$A:$A,[1]DePara!$D:$D,"Outros",0,1),0,1)</f>
        <v>Raphael Pereira</v>
      </c>
      <c r="R672" s="11" t="str">
        <f>_xlfn.XLOOKUP(Base_CRM[[#This Row],[Cód do Cliente]],'[1]F &amp; O'!$A:$A,'[1]F &amp; O'!D:D,"Sem Finder",0,1)</f>
        <v>Sem Finder</v>
      </c>
      <c r="S672" s="11" t="str">
        <f>_xlfn.XLOOKUP(Base_CRM[[#This Row],[Cód do Cliente]],'[1]F &amp; O'!$A:$A,'[1]F &amp; O'!E:E,"Sem Canal",0,1)</f>
        <v>Sem Canal</v>
      </c>
      <c r="T672" s="11" t="str">
        <f t="shared" si="10"/>
        <v>Cliente XP</v>
      </c>
    </row>
    <row r="673" spans="1:20" x14ac:dyDescent="0.3">
      <c r="A673">
        <v>9531351</v>
      </c>
      <c r="B673" s="8" t="s">
        <v>1509</v>
      </c>
      <c r="C673" s="9" t="s">
        <v>103</v>
      </c>
      <c r="D673" s="8">
        <v>254959.26</v>
      </c>
      <c r="F673" t="s">
        <v>92</v>
      </c>
      <c r="G673" t="s">
        <v>1382</v>
      </c>
      <c r="H673" s="10"/>
      <c r="I673" s="10" t="s">
        <v>349</v>
      </c>
      <c r="J673" t="s">
        <v>1399</v>
      </c>
      <c r="L673" t="s">
        <v>1510</v>
      </c>
      <c r="N673" s="11" t="str">
        <f>Base_CRM[[#This Row],[Cidade]]&amp;"/"&amp;Base_CRM[[#This Row],[Estado]]</f>
        <v>São Paulo/SP</v>
      </c>
      <c r="O673" s="12">
        <f>IFERROR(IF(Base_CRM[[#This Row],[PL Tailor]]&gt;Base_CRM[[#This Row],[PL Declarado]],1,Base_CRM[[#This Row],[PL Tailor]]/Base_CRM[[#This Row],[PL Declarado]]),0)</f>
        <v>1</v>
      </c>
      <c r="P673" s="11" t="str">
        <f>IF(Base_CRM[[#This Row],[Estado Civil]]="","PESSOA JURÍDICA","PESSOA FÍSICA")</f>
        <v>PESSOA JURÍDICA</v>
      </c>
      <c r="Q673" t="str">
        <f>_xlfn.XLOOKUP(Base_CRM[[#This Row],[Cód do Cliente]],'[1]F &amp; O'!$A:$A,'[1]F &amp; O'!$F:$F,_xlfn.XLOOKUP(Base_CRM[[#This Row],[Assessor]],[1]DePara!$A:$A,[1]DePara!$D:$D,"Outros",0,1),0,1)</f>
        <v>Raphael Pereira</v>
      </c>
      <c r="R673" s="11" t="str">
        <f>_xlfn.XLOOKUP(Base_CRM[[#This Row],[Cód do Cliente]],'[1]F &amp; O'!$A:$A,'[1]F &amp; O'!D:D,"Sem Finder",0,1)</f>
        <v>Sem Finder</v>
      </c>
      <c r="S673" s="11" t="str">
        <f>_xlfn.XLOOKUP(Base_CRM[[#This Row],[Cód do Cliente]],'[1]F &amp; O'!$A:$A,'[1]F &amp; O'!E:E,"Sem Canal",0,1)</f>
        <v>Sem Canal</v>
      </c>
      <c r="T673" s="11" t="str">
        <f t="shared" si="10"/>
        <v>Cliente XP</v>
      </c>
    </row>
    <row r="674" spans="1:20" x14ac:dyDescent="0.3">
      <c r="A674">
        <v>11557985</v>
      </c>
      <c r="B674" s="8" t="s">
        <v>1511</v>
      </c>
      <c r="C674" s="9" t="s">
        <v>48</v>
      </c>
      <c r="D674" s="8">
        <v>916843.38</v>
      </c>
      <c r="F674" t="s">
        <v>29</v>
      </c>
      <c r="G674" t="s">
        <v>1390</v>
      </c>
      <c r="H674" s="10"/>
      <c r="I674" s="10" t="s">
        <v>1512</v>
      </c>
      <c r="J674" t="s">
        <v>1513</v>
      </c>
      <c r="L674" t="s">
        <v>1514</v>
      </c>
      <c r="N674" s="11" t="str">
        <f>Base_CRM[[#This Row],[Cidade]]&amp;"/"&amp;Base_CRM[[#This Row],[Estado]]</f>
        <v>Brumado/BA</v>
      </c>
      <c r="O674" s="12">
        <f>IFERROR(IF(Base_CRM[[#This Row],[PL Tailor]]&gt;Base_CRM[[#This Row],[PL Declarado]],1,Base_CRM[[#This Row],[PL Tailor]]/Base_CRM[[#This Row],[PL Declarado]]),0)</f>
        <v>1</v>
      </c>
      <c r="P674" s="11" t="str">
        <f>IF(Base_CRM[[#This Row],[Estado Civil]]="","PESSOA JURÍDICA","PESSOA FÍSICA")</f>
        <v>PESSOA JURÍDICA</v>
      </c>
      <c r="Q674" t="str">
        <f>_xlfn.XLOOKUP(Base_CRM[[#This Row],[Cód do Cliente]],'[1]F &amp; O'!$A:$A,'[1]F &amp; O'!$F:$F,_xlfn.XLOOKUP(Base_CRM[[#This Row],[Assessor]],[1]DePara!$A:$A,[1]DePara!$D:$D,"Outros",0,1),0,1)</f>
        <v>Raphael Farias</v>
      </c>
      <c r="R674" s="11" t="str">
        <f>_xlfn.XLOOKUP(Base_CRM[[#This Row],[Cód do Cliente]],'[1]F &amp; O'!$A:$A,'[1]F &amp; O'!D:D,"Sem Finder",0,1)</f>
        <v>Sem Finder</v>
      </c>
      <c r="S674" s="11" t="str">
        <f>_xlfn.XLOOKUP(Base_CRM[[#This Row],[Cód do Cliente]],'[1]F &amp; O'!$A:$A,'[1]F &amp; O'!E:E,"Sem Canal",0,1)</f>
        <v>Sem Canal</v>
      </c>
      <c r="T674" s="11" t="str">
        <f t="shared" si="10"/>
        <v>Cliente XP</v>
      </c>
    </row>
    <row r="675" spans="1:20" x14ac:dyDescent="0.3">
      <c r="A675">
        <v>18726345</v>
      </c>
      <c r="B675" s="8" t="s">
        <v>1515</v>
      </c>
      <c r="C675" s="9" t="s">
        <v>103</v>
      </c>
      <c r="D675" s="8">
        <v>5511541.7999999998</v>
      </c>
      <c r="F675" t="s">
        <v>29</v>
      </c>
      <c r="G675" t="s">
        <v>1446</v>
      </c>
      <c r="H675" s="10"/>
      <c r="I675" s="10" t="s">
        <v>232</v>
      </c>
      <c r="J675" t="s">
        <v>1387</v>
      </c>
      <c r="L675" t="s">
        <v>1516</v>
      </c>
      <c r="N675" s="11" t="str">
        <f>Base_CRM[[#This Row],[Cidade]]&amp;"/"&amp;Base_CRM[[#This Row],[Estado]]</f>
        <v>DUQUE DE CAXIAS/RJ</v>
      </c>
      <c r="O675" s="12">
        <f>IFERROR(IF(Base_CRM[[#This Row],[PL Tailor]]&gt;Base_CRM[[#This Row],[PL Declarado]],1,Base_CRM[[#This Row],[PL Tailor]]/Base_CRM[[#This Row],[PL Declarado]]),0)</f>
        <v>1</v>
      </c>
      <c r="P675" s="11" t="str">
        <f>IF(Base_CRM[[#This Row],[Estado Civil]]="","PESSOA JURÍDICA","PESSOA FÍSICA")</f>
        <v>PESSOA JURÍDICA</v>
      </c>
      <c r="Q675" t="str">
        <f>_xlfn.XLOOKUP(Base_CRM[[#This Row],[Cód do Cliente]],'[1]F &amp; O'!$A:$A,'[1]F &amp; O'!$F:$F,_xlfn.XLOOKUP(Base_CRM[[#This Row],[Assessor]],[1]DePara!$A:$A,[1]DePara!$D:$D,"Outros",0,1),0,1)</f>
        <v>Raphael Pereira</v>
      </c>
      <c r="R675" s="11" t="str">
        <f>_xlfn.XLOOKUP(Base_CRM[[#This Row],[Cód do Cliente]],'[1]F &amp; O'!$A:$A,'[1]F &amp; O'!D:D,"Sem Finder",0,1)</f>
        <v>Sem Finder</v>
      </c>
      <c r="S675" s="11" t="str">
        <f>_xlfn.XLOOKUP(Base_CRM[[#This Row],[Cód do Cliente]],'[1]F &amp; O'!$A:$A,'[1]F &amp; O'!E:E,"Sem Canal",0,1)</f>
        <v>Gabriel Boyer/Gustavo Faria</v>
      </c>
      <c r="T675" s="11" t="str">
        <f t="shared" si="10"/>
        <v>Cliente XP</v>
      </c>
    </row>
    <row r="676" spans="1:20" x14ac:dyDescent="0.3">
      <c r="A676">
        <v>18148695</v>
      </c>
      <c r="B676" s="8" t="s">
        <v>1517</v>
      </c>
      <c r="C676" s="9" t="s">
        <v>103</v>
      </c>
      <c r="D676" s="8">
        <v>2213952.02</v>
      </c>
      <c r="F676" t="s">
        <v>29</v>
      </c>
      <c r="G676" t="s">
        <v>1386</v>
      </c>
      <c r="H676" s="10"/>
      <c r="I676" s="10" t="s">
        <v>1518</v>
      </c>
      <c r="J676" t="s">
        <v>1519</v>
      </c>
      <c r="L676" t="s">
        <v>1520</v>
      </c>
      <c r="N676" s="11" t="str">
        <f>Base_CRM[[#This Row],[Cidade]]&amp;"/"&amp;Base_CRM[[#This Row],[Estado]]</f>
        <v>BONITO/MS</v>
      </c>
      <c r="O676" s="12">
        <f>IFERROR(IF(Base_CRM[[#This Row],[PL Tailor]]&gt;Base_CRM[[#This Row],[PL Declarado]],1,Base_CRM[[#This Row],[PL Tailor]]/Base_CRM[[#This Row],[PL Declarado]]),0)</f>
        <v>1</v>
      </c>
      <c r="P676" s="11" t="str">
        <f>IF(Base_CRM[[#This Row],[Estado Civil]]="","PESSOA JURÍDICA","PESSOA FÍSICA")</f>
        <v>PESSOA JURÍDICA</v>
      </c>
      <c r="Q676" t="str">
        <f>_xlfn.XLOOKUP(Base_CRM[[#This Row],[Cód do Cliente]],'[1]F &amp; O'!$A:$A,'[1]F &amp; O'!$F:$F,_xlfn.XLOOKUP(Base_CRM[[#This Row],[Assessor]],[1]DePara!$A:$A,[1]DePara!$D:$D,"Outros",0,1),0,1)</f>
        <v>Raphael Pereira</v>
      </c>
      <c r="R676" s="11" t="str">
        <f>_xlfn.XLOOKUP(Base_CRM[[#This Row],[Cód do Cliente]],'[1]F &amp; O'!$A:$A,'[1]F &amp; O'!D:D,"Sem Finder",0,1)</f>
        <v>Gustavo Faria</v>
      </c>
      <c r="S676" s="11" t="str">
        <f>_xlfn.XLOOKUP(Base_CRM[[#This Row],[Cód do Cliente]],'[1]F &amp; O'!$A:$A,'[1]F &amp; O'!E:E,"Sem Canal",0,1)</f>
        <v>Sem Canal</v>
      </c>
      <c r="T676" s="11" t="str">
        <f t="shared" si="10"/>
        <v>Cliente XP</v>
      </c>
    </row>
    <row r="677" spans="1:20" x14ac:dyDescent="0.3">
      <c r="A677">
        <v>6376584</v>
      </c>
      <c r="B677" s="8" t="s">
        <v>1521</v>
      </c>
      <c r="C677" s="9" t="s">
        <v>21</v>
      </c>
      <c r="D677" s="8">
        <v>0</v>
      </c>
      <c r="F677" t="s">
        <v>40</v>
      </c>
      <c r="G677" t="s">
        <v>1390</v>
      </c>
      <c r="H677" s="10"/>
      <c r="I677" s="10" t="s">
        <v>24</v>
      </c>
      <c r="J677" t="s">
        <v>1387</v>
      </c>
      <c r="L677" t="s">
        <v>1522</v>
      </c>
      <c r="N677" s="11" t="str">
        <f>Base_CRM[[#This Row],[Cidade]]&amp;"/"&amp;Base_CRM[[#This Row],[Estado]]</f>
        <v>RIO DE JANEIRO/RJ</v>
      </c>
      <c r="O677" s="12">
        <f>IFERROR(IF(Base_CRM[[#This Row],[PL Tailor]]&gt;Base_CRM[[#This Row],[PL Declarado]],1,Base_CRM[[#This Row],[PL Tailor]]/Base_CRM[[#This Row],[PL Declarado]]),0)</f>
        <v>0</v>
      </c>
      <c r="P677" s="11" t="str">
        <f>IF(Base_CRM[[#This Row],[Estado Civil]]="","PESSOA JURÍDICA","PESSOA FÍSICA")</f>
        <v>PESSOA JURÍDICA</v>
      </c>
      <c r="Q677" t="str">
        <f>_xlfn.XLOOKUP(Base_CRM[[#This Row],[Cód do Cliente]],'[1]F &amp; O'!$A:$A,'[1]F &amp; O'!$F:$F,_xlfn.XLOOKUP(Base_CRM[[#This Row],[Assessor]],[1]DePara!$A:$A,[1]DePara!$D:$D,"Outros",0,1),0,1)</f>
        <v>Leonardo Burle</v>
      </c>
      <c r="R677" s="11" t="str">
        <f>_xlfn.XLOOKUP(Base_CRM[[#This Row],[Cód do Cliente]],'[1]F &amp; O'!$A:$A,'[1]F &amp; O'!D:D,"Sem Finder",0,1)</f>
        <v>Sem Finder</v>
      </c>
      <c r="S677" s="11" t="str">
        <f>_xlfn.XLOOKUP(Base_CRM[[#This Row],[Cód do Cliente]],'[1]F &amp; O'!$A:$A,'[1]F &amp; O'!E:E,"Sem Canal",0,1)</f>
        <v>Sem Canal</v>
      </c>
      <c r="T677" s="11" t="str">
        <f t="shared" si="10"/>
        <v>Cliente XP</v>
      </c>
    </row>
    <row r="678" spans="1:20" x14ac:dyDescent="0.3">
      <c r="A678">
        <v>15158949</v>
      </c>
      <c r="B678" s="8" t="s">
        <v>1523</v>
      </c>
      <c r="C678" s="9" t="s">
        <v>103</v>
      </c>
      <c r="D678" s="8">
        <v>0</v>
      </c>
      <c r="F678" t="s">
        <v>40</v>
      </c>
      <c r="G678" t="s">
        <v>1390</v>
      </c>
      <c r="H678" s="10"/>
      <c r="I678" s="10" t="s">
        <v>31</v>
      </c>
      <c r="J678" t="s">
        <v>1399</v>
      </c>
      <c r="L678" t="s">
        <v>1524</v>
      </c>
      <c r="N678" s="11" t="str">
        <f>Base_CRM[[#This Row],[Cidade]]&amp;"/"&amp;Base_CRM[[#This Row],[Estado]]</f>
        <v>SAO PAULO/SP</v>
      </c>
      <c r="O678" s="12">
        <f>IFERROR(IF(Base_CRM[[#This Row],[PL Tailor]]&gt;Base_CRM[[#This Row],[PL Declarado]],1,Base_CRM[[#This Row],[PL Tailor]]/Base_CRM[[#This Row],[PL Declarado]]),0)</f>
        <v>0</v>
      </c>
      <c r="P678" s="11" t="str">
        <f>IF(Base_CRM[[#This Row],[Estado Civil]]="","PESSOA JURÍDICA","PESSOA FÍSICA")</f>
        <v>PESSOA JURÍDICA</v>
      </c>
      <c r="Q678" t="str">
        <f>_xlfn.XLOOKUP(Base_CRM[[#This Row],[Cód do Cliente]],'[1]F &amp; O'!$A:$A,'[1]F &amp; O'!$F:$F,_xlfn.XLOOKUP(Base_CRM[[#This Row],[Assessor]],[1]DePara!$A:$A,[1]DePara!$D:$D,"Outros",0,1),0,1)</f>
        <v>Raphael Pereira</v>
      </c>
      <c r="R678" s="11" t="str">
        <f>_xlfn.XLOOKUP(Base_CRM[[#This Row],[Cód do Cliente]],'[1]F &amp; O'!$A:$A,'[1]F &amp; O'!D:D,"Sem Finder",0,1)</f>
        <v>Sem Finder</v>
      </c>
      <c r="S678" s="11" t="str">
        <f>_xlfn.XLOOKUP(Base_CRM[[#This Row],[Cód do Cliente]],'[1]F &amp; O'!$A:$A,'[1]F &amp; O'!E:E,"Sem Canal",0,1)</f>
        <v>Sem Canal</v>
      </c>
      <c r="T678" s="11" t="str">
        <f t="shared" si="10"/>
        <v>Cliente XP</v>
      </c>
    </row>
    <row r="679" spans="1:20" x14ac:dyDescent="0.3">
      <c r="A679">
        <v>9676777</v>
      </c>
      <c r="B679" s="8" t="s">
        <v>1525</v>
      </c>
      <c r="C679" s="9" t="s">
        <v>21</v>
      </c>
      <c r="D679" s="8">
        <v>1636834.82</v>
      </c>
      <c r="F679" t="s">
        <v>29</v>
      </c>
      <c r="G679" t="s">
        <v>1386</v>
      </c>
      <c r="H679" s="10"/>
      <c r="I679" s="10" t="s">
        <v>24</v>
      </c>
      <c r="J679" t="s">
        <v>1387</v>
      </c>
      <c r="L679" t="s">
        <v>1526</v>
      </c>
      <c r="M679" t="s">
        <v>64</v>
      </c>
      <c r="N679" s="11" t="str">
        <f>Base_CRM[[#This Row],[Cidade]]&amp;"/"&amp;Base_CRM[[#This Row],[Estado]]</f>
        <v>RIO DE JANEIRO/RJ</v>
      </c>
      <c r="O679" s="12">
        <f>IFERROR(IF(Base_CRM[[#This Row],[PL Tailor]]&gt;Base_CRM[[#This Row],[PL Declarado]],1,Base_CRM[[#This Row],[PL Tailor]]/Base_CRM[[#This Row],[PL Declarado]]),0)</f>
        <v>1</v>
      </c>
      <c r="P679" s="11" t="str">
        <f>IF(Base_CRM[[#This Row],[Estado Civil]]="","PESSOA JURÍDICA","PESSOA FÍSICA")</f>
        <v>PESSOA JURÍDICA</v>
      </c>
      <c r="Q679" t="str">
        <f>_xlfn.XLOOKUP(Base_CRM[[#This Row],[Cód do Cliente]],'[1]F &amp; O'!$A:$A,'[1]F &amp; O'!$F:$F,_xlfn.XLOOKUP(Base_CRM[[#This Row],[Assessor]],[1]DePara!$A:$A,[1]DePara!$D:$D,"Outros",0,1),0,1)</f>
        <v>Leonardo Burle</v>
      </c>
      <c r="R679" s="11" t="str">
        <f>_xlfn.XLOOKUP(Base_CRM[[#This Row],[Cód do Cliente]],'[1]F &amp; O'!$A:$A,'[1]F &amp; O'!D:D,"Sem Finder",0,1)</f>
        <v>Sem Finder</v>
      </c>
      <c r="S679" s="11" t="str">
        <f>_xlfn.XLOOKUP(Base_CRM[[#This Row],[Cód do Cliente]],'[1]F &amp; O'!$A:$A,'[1]F &amp; O'!E:E,"Sem Canal",0,1)</f>
        <v>Sem Canal</v>
      </c>
      <c r="T679" s="11" t="str">
        <f t="shared" si="10"/>
        <v>Cliente XP</v>
      </c>
    </row>
    <row r="680" spans="1:20" x14ac:dyDescent="0.3">
      <c r="A680">
        <v>15913876</v>
      </c>
      <c r="B680" s="8" t="s">
        <v>1527</v>
      </c>
      <c r="C680" s="9" t="s">
        <v>21</v>
      </c>
      <c r="D680" s="8">
        <v>2866608.82</v>
      </c>
      <c r="F680" t="s">
        <v>29</v>
      </c>
      <c r="G680" t="s">
        <v>1428</v>
      </c>
      <c r="H680" s="10"/>
      <c r="I680" s="10" t="s">
        <v>84</v>
      </c>
      <c r="J680" t="s">
        <v>1387</v>
      </c>
      <c r="L680" t="s">
        <v>1528</v>
      </c>
      <c r="N680" s="11" t="str">
        <f>Base_CRM[[#This Row],[Cidade]]&amp;"/"&amp;Base_CRM[[#This Row],[Estado]]</f>
        <v>NITEROI/RJ</v>
      </c>
      <c r="O680" s="12">
        <f>IFERROR(IF(Base_CRM[[#This Row],[PL Tailor]]&gt;Base_CRM[[#This Row],[PL Declarado]],1,Base_CRM[[#This Row],[PL Tailor]]/Base_CRM[[#This Row],[PL Declarado]]),0)</f>
        <v>1</v>
      </c>
      <c r="P680" s="11" t="str">
        <f>IF(Base_CRM[[#This Row],[Estado Civil]]="","PESSOA JURÍDICA","PESSOA FÍSICA")</f>
        <v>PESSOA JURÍDICA</v>
      </c>
      <c r="Q680" t="str">
        <f>_xlfn.XLOOKUP(Base_CRM[[#This Row],[Cód do Cliente]],'[1]F &amp; O'!$A:$A,'[1]F &amp; O'!$F:$F,_xlfn.XLOOKUP(Base_CRM[[#This Row],[Assessor]],[1]DePara!$A:$A,[1]DePara!$D:$D,"Outros",0,1),0,1)</f>
        <v>Leonardo Burle</v>
      </c>
      <c r="R680" s="11" t="str">
        <f>_xlfn.XLOOKUP(Base_CRM[[#This Row],[Cód do Cliente]],'[1]F &amp; O'!$A:$A,'[1]F &amp; O'!D:D,"Sem Finder",0,1)</f>
        <v>Frederico Dantas</v>
      </c>
      <c r="S680" s="11" t="str">
        <f>_xlfn.XLOOKUP(Base_CRM[[#This Row],[Cód do Cliente]],'[1]F &amp; O'!$A:$A,'[1]F &amp; O'!E:E,"Sem Canal",0,1)</f>
        <v>Sem Canal</v>
      </c>
      <c r="T680" s="11" t="str">
        <f t="shared" si="10"/>
        <v>Cliente XP</v>
      </c>
    </row>
    <row r="681" spans="1:20" x14ac:dyDescent="0.3">
      <c r="A681">
        <v>11116773</v>
      </c>
      <c r="B681" s="8" t="s">
        <v>1529</v>
      </c>
      <c r="C681" s="9" t="s">
        <v>21</v>
      </c>
      <c r="D681" s="8">
        <v>10868.25</v>
      </c>
      <c r="F681" t="s">
        <v>22</v>
      </c>
      <c r="G681" t="s">
        <v>1390</v>
      </c>
      <c r="H681" s="10"/>
      <c r="I681" s="10" t="s">
        <v>1530</v>
      </c>
      <c r="J681" t="s">
        <v>1531</v>
      </c>
      <c r="L681" t="s">
        <v>1532</v>
      </c>
      <c r="M681" t="s">
        <v>64</v>
      </c>
      <c r="N681" s="11" t="str">
        <f>Base_CRM[[#This Row],[Cidade]]&amp;"/"&amp;Base_CRM[[#This Row],[Estado]]</f>
        <v>BELO HORIZONTE/MG</v>
      </c>
      <c r="O681" s="12">
        <f>IFERROR(IF(Base_CRM[[#This Row],[PL Tailor]]&gt;Base_CRM[[#This Row],[PL Declarado]],1,Base_CRM[[#This Row],[PL Tailor]]/Base_CRM[[#This Row],[PL Declarado]]),0)</f>
        <v>1</v>
      </c>
      <c r="P681" s="11" t="str">
        <f>IF(Base_CRM[[#This Row],[Estado Civil]]="","PESSOA JURÍDICA","PESSOA FÍSICA")</f>
        <v>PESSOA JURÍDICA</v>
      </c>
      <c r="Q681" t="str">
        <f>_xlfn.XLOOKUP(Base_CRM[[#This Row],[Cód do Cliente]],'[1]F &amp; O'!$A:$A,'[1]F &amp; O'!$F:$F,_xlfn.XLOOKUP(Base_CRM[[#This Row],[Assessor]],[1]DePara!$A:$A,[1]DePara!$D:$D,"Outros",0,1),0,1)</f>
        <v>Leonardo Burle</v>
      </c>
      <c r="R681" s="11" t="str">
        <f>_xlfn.XLOOKUP(Base_CRM[[#This Row],[Cód do Cliente]],'[1]F &amp; O'!$A:$A,'[1]F &amp; O'!D:D,"Sem Finder",0,1)</f>
        <v>Maurício Honorato</v>
      </c>
      <c r="S681" s="11" t="str">
        <f>_xlfn.XLOOKUP(Base_CRM[[#This Row],[Cód do Cliente]],'[1]F &amp; O'!$A:$A,'[1]F &amp; O'!E:E,"Sem Canal",0,1)</f>
        <v>Maurício Honorato</v>
      </c>
      <c r="T681" s="11" t="str">
        <f t="shared" si="10"/>
        <v>Cliente XP</v>
      </c>
    </row>
    <row r="682" spans="1:20" x14ac:dyDescent="0.3">
      <c r="A682">
        <v>7842490</v>
      </c>
      <c r="B682" s="8" t="s">
        <v>1533</v>
      </c>
      <c r="C682" s="9" t="s">
        <v>48</v>
      </c>
      <c r="D682" s="8">
        <v>3014085.29</v>
      </c>
      <c r="F682" t="s">
        <v>29</v>
      </c>
      <c r="G682" t="s">
        <v>1446</v>
      </c>
      <c r="H682" s="10"/>
      <c r="I682" s="10" t="s">
        <v>349</v>
      </c>
      <c r="J682" t="s">
        <v>1399</v>
      </c>
      <c r="L682" t="s">
        <v>1534</v>
      </c>
      <c r="M682" t="s">
        <v>64</v>
      </c>
      <c r="N682" s="11" t="str">
        <f>Base_CRM[[#This Row],[Cidade]]&amp;"/"&amp;Base_CRM[[#This Row],[Estado]]</f>
        <v>São Paulo/SP</v>
      </c>
      <c r="O682" s="12">
        <f>IFERROR(IF(Base_CRM[[#This Row],[PL Tailor]]&gt;Base_CRM[[#This Row],[PL Declarado]],1,Base_CRM[[#This Row],[PL Tailor]]/Base_CRM[[#This Row],[PL Declarado]]),0)</f>
        <v>1</v>
      </c>
      <c r="P682" s="11" t="str">
        <f>IF(Base_CRM[[#This Row],[Estado Civil]]="","PESSOA JURÍDICA","PESSOA FÍSICA")</f>
        <v>PESSOA JURÍDICA</v>
      </c>
      <c r="Q682" t="str">
        <f>_xlfn.XLOOKUP(Base_CRM[[#This Row],[Cód do Cliente]],'[1]F &amp; O'!$A:$A,'[1]F &amp; O'!$F:$F,_xlfn.XLOOKUP(Base_CRM[[#This Row],[Assessor]],[1]DePara!$A:$A,[1]DePara!$D:$D,"Outros",0,1),0,1)</f>
        <v>Raphael Farias</v>
      </c>
      <c r="R682" s="11" t="str">
        <f>_xlfn.XLOOKUP(Base_CRM[[#This Row],[Cód do Cliente]],'[1]F &amp; O'!$A:$A,'[1]F &amp; O'!D:D,"Sem Finder",0,1)</f>
        <v>Sem Finder</v>
      </c>
      <c r="S682" s="11" t="str">
        <f>_xlfn.XLOOKUP(Base_CRM[[#This Row],[Cód do Cliente]],'[1]F &amp; O'!$A:$A,'[1]F &amp; O'!E:E,"Sem Canal",0,1)</f>
        <v>Sem Canal</v>
      </c>
      <c r="T682" s="11" t="str">
        <f t="shared" si="10"/>
        <v>Cliente XP</v>
      </c>
    </row>
    <row r="683" spans="1:20" x14ac:dyDescent="0.3">
      <c r="A683">
        <v>17983292</v>
      </c>
      <c r="B683" s="8" t="s">
        <v>1535</v>
      </c>
      <c r="C683" s="9" t="s">
        <v>74</v>
      </c>
      <c r="D683" s="8">
        <v>0</v>
      </c>
      <c r="G683" t="s">
        <v>1472</v>
      </c>
      <c r="H683" s="10"/>
      <c r="I683" s="10" t="s">
        <v>31</v>
      </c>
      <c r="J683" t="s">
        <v>1399</v>
      </c>
      <c r="L683" t="s">
        <v>1536</v>
      </c>
      <c r="N683" s="11" t="str">
        <f>Base_CRM[[#This Row],[Cidade]]&amp;"/"&amp;Base_CRM[[#This Row],[Estado]]</f>
        <v>SAO PAULO/SP</v>
      </c>
      <c r="O683" s="12">
        <f>IFERROR(IF(Base_CRM[[#This Row],[PL Tailor]]&gt;Base_CRM[[#This Row],[PL Declarado]],1,Base_CRM[[#This Row],[PL Tailor]]/Base_CRM[[#This Row],[PL Declarado]]),0)</f>
        <v>0</v>
      </c>
      <c r="P683" s="11" t="str">
        <f>IF(Base_CRM[[#This Row],[Estado Civil]]="","PESSOA JURÍDICA","PESSOA FÍSICA")</f>
        <v>PESSOA JURÍDICA</v>
      </c>
      <c r="Q683" t="str">
        <f>_xlfn.XLOOKUP(Base_CRM[[#This Row],[Cód do Cliente]],'[1]F &amp; O'!$A:$A,'[1]F &amp; O'!$F:$F,_xlfn.XLOOKUP(Base_CRM[[#This Row],[Assessor]],[1]DePara!$A:$A,[1]DePara!$D:$D,"Outros",0,1),0,1)</f>
        <v>Thayane Freitas</v>
      </c>
      <c r="R683" s="11" t="str">
        <f>_xlfn.XLOOKUP(Base_CRM[[#This Row],[Cód do Cliente]],'[1]F &amp; O'!$A:$A,'[1]F &amp; O'!D:D,"Sem Finder",0,1)</f>
        <v>Sem Finder</v>
      </c>
      <c r="S683" s="11" t="str">
        <f>_xlfn.XLOOKUP(Base_CRM[[#This Row],[Cód do Cliente]],'[1]F &amp; O'!$A:$A,'[1]F &amp; O'!E:E,"Sem Canal",0,1)</f>
        <v>Sem Canal</v>
      </c>
      <c r="T683" s="11" t="str">
        <f t="shared" si="10"/>
        <v>Cliente XP</v>
      </c>
    </row>
    <row r="684" spans="1:20" x14ac:dyDescent="0.3">
      <c r="A684">
        <v>16991102</v>
      </c>
      <c r="B684" s="8" t="s">
        <v>1537</v>
      </c>
      <c r="C684" s="9" t="s">
        <v>103</v>
      </c>
      <c r="D684" s="8">
        <v>0</v>
      </c>
      <c r="F684" t="s">
        <v>92</v>
      </c>
      <c r="G684" t="s">
        <v>1446</v>
      </c>
      <c r="H684" s="10"/>
      <c r="I684" s="10" t="s">
        <v>31</v>
      </c>
      <c r="J684" t="s">
        <v>1399</v>
      </c>
      <c r="L684" t="s">
        <v>1538</v>
      </c>
      <c r="N684" s="11" t="str">
        <f>Base_CRM[[#This Row],[Cidade]]&amp;"/"&amp;Base_CRM[[#This Row],[Estado]]</f>
        <v>SAO PAULO/SP</v>
      </c>
      <c r="O684" s="12">
        <f>IFERROR(IF(Base_CRM[[#This Row],[PL Tailor]]&gt;Base_CRM[[#This Row],[PL Declarado]],1,Base_CRM[[#This Row],[PL Tailor]]/Base_CRM[[#This Row],[PL Declarado]]),0)</f>
        <v>0</v>
      </c>
      <c r="P684" s="11" t="str">
        <f>IF(Base_CRM[[#This Row],[Estado Civil]]="","PESSOA JURÍDICA","PESSOA FÍSICA")</f>
        <v>PESSOA JURÍDICA</v>
      </c>
      <c r="Q684" t="str">
        <f>_xlfn.XLOOKUP(Base_CRM[[#This Row],[Cód do Cliente]],'[1]F &amp; O'!$A:$A,'[1]F &amp; O'!$F:$F,_xlfn.XLOOKUP(Base_CRM[[#This Row],[Assessor]],[1]DePara!$A:$A,[1]DePara!$D:$D,"Outros",0,1),0,1)</f>
        <v>Raphael Pereira</v>
      </c>
      <c r="R684" s="11" t="str">
        <f>_xlfn.XLOOKUP(Base_CRM[[#This Row],[Cód do Cliente]],'[1]F &amp; O'!$A:$A,'[1]F &amp; O'!D:D,"Sem Finder",0,1)</f>
        <v>Gustavo Faria</v>
      </c>
      <c r="S684" s="11" t="str">
        <f>_xlfn.XLOOKUP(Base_CRM[[#This Row],[Cód do Cliente]],'[1]F &amp; O'!$A:$A,'[1]F &amp; O'!E:E,"Sem Canal",0,1)</f>
        <v>Sem Canal</v>
      </c>
      <c r="T684" s="11" t="str">
        <f t="shared" si="10"/>
        <v>Cliente XP</v>
      </c>
    </row>
    <row r="685" spans="1:20" x14ac:dyDescent="0.3">
      <c r="A685">
        <v>9139216</v>
      </c>
      <c r="B685" s="8" t="s">
        <v>1539</v>
      </c>
      <c r="C685" s="9" t="s">
        <v>103</v>
      </c>
      <c r="D685" s="8">
        <v>0</v>
      </c>
      <c r="F685" t="s">
        <v>29</v>
      </c>
      <c r="G685" t="s">
        <v>1472</v>
      </c>
      <c r="H685" s="10"/>
      <c r="I685" s="10" t="s">
        <v>31</v>
      </c>
      <c r="J685" t="s">
        <v>1399</v>
      </c>
      <c r="L685" t="s">
        <v>1540</v>
      </c>
      <c r="N685" s="11" t="str">
        <f>Base_CRM[[#This Row],[Cidade]]&amp;"/"&amp;Base_CRM[[#This Row],[Estado]]</f>
        <v>SAO PAULO/SP</v>
      </c>
      <c r="O685" s="12">
        <f>IFERROR(IF(Base_CRM[[#This Row],[PL Tailor]]&gt;Base_CRM[[#This Row],[PL Declarado]],1,Base_CRM[[#This Row],[PL Tailor]]/Base_CRM[[#This Row],[PL Declarado]]),0)</f>
        <v>0</v>
      </c>
      <c r="P685" s="11" t="str">
        <f>IF(Base_CRM[[#This Row],[Estado Civil]]="","PESSOA JURÍDICA","PESSOA FÍSICA")</f>
        <v>PESSOA JURÍDICA</v>
      </c>
      <c r="Q685" t="str">
        <f>_xlfn.XLOOKUP(Base_CRM[[#This Row],[Cód do Cliente]],'[1]F &amp; O'!$A:$A,'[1]F &amp; O'!$F:$F,_xlfn.XLOOKUP(Base_CRM[[#This Row],[Assessor]],[1]DePara!$A:$A,[1]DePara!$D:$D,"Outros",0,1),0,1)</f>
        <v>Raphael Pereira</v>
      </c>
      <c r="R685" s="11" t="str">
        <f>_xlfn.XLOOKUP(Base_CRM[[#This Row],[Cód do Cliente]],'[1]F &amp; O'!$A:$A,'[1]F &amp; O'!D:D,"Sem Finder",0,1)</f>
        <v>Sem Finder</v>
      </c>
      <c r="S685" s="11" t="str">
        <f>_xlfn.XLOOKUP(Base_CRM[[#This Row],[Cód do Cliente]],'[1]F &amp; O'!$A:$A,'[1]F &amp; O'!E:E,"Sem Canal",0,1)</f>
        <v>Sem Canal</v>
      </c>
      <c r="T685" s="11" t="str">
        <f t="shared" si="10"/>
        <v>Cliente XP</v>
      </c>
    </row>
    <row r="686" spans="1:20" x14ac:dyDescent="0.3">
      <c r="A686">
        <v>16760973</v>
      </c>
      <c r="B686" s="8" t="s">
        <v>1541</v>
      </c>
      <c r="C686" s="9" t="s">
        <v>34</v>
      </c>
      <c r="D686" s="8">
        <v>1303302.71</v>
      </c>
      <c r="F686" t="s">
        <v>92</v>
      </c>
      <c r="G686" t="s">
        <v>1428</v>
      </c>
      <c r="H686" s="10"/>
      <c r="I686" s="10" t="s">
        <v>31</v>
      </c>
      <c r="J686" t="s">
        <v>1399</v>
      </c>
      <c r="L686" t="s">
        <v>1542</v>
      </c>
      <c r="N686" s="11" t="str">
        <f>Base_CRM[[#This Row],[Cidade]]&amp;"/"&amp;Base_CRM[[#This Row],[Estado]]</f>
        <v>SAO PAULO/SP</v>
      </c>
      <c r="O686" s="12">
        <f>IFERROR(IF(Base_CRM[[#This Row],[PL Tailor]]&gt;Base_CRM[[#This Row],[PL Declarado]],1,Base_CRM[[#This Row],[PL Tailor]]/Base_CRM[[#This Row],[PL Declarado]]),0)</f>
        <v>1</v>
      </c>
      <c r="P686" s="11" t="str">
        <f>IF(Base_CRM[[#This Row],[Estado Civil]]="","PESSOA JURÍDICA","PESSOA FÍSICA")</f>
        <v>PESSOA JURÍDICA</v>
      </c>
      <c r="Q686" t="str">
        <f>_xlfn.XLOOKUP(Base_CRM[[#This Row],[Cód do Cliente]],'[1]F &amp; O'!$A:$A,'[1]F &amp; O'!$F:$F,_xlfn.XLOOKUP(Base_CRM[[#This Row],[Assessor]],[1]DePara!$A:$A,[1]DePara!$D:$D,"Outros",0,1),0,1)</f>
        <v>Adonias Noronha</v>
      </c>
      <c r="R686" s="11" t="str">
        <f>_xlfn.XLOOKUP(Base_CRM[[#This Row],[Cód do Cliente]],'[1]F &amp; O'!$A:$A,'[1]F &amp; O'!D:D,"Sem Finder",0,1)</f>
        <v>Sem Finder</v>
      </c>
      <c r="S686" s="11" t="str">
        <f>_xlfn.XLOOKUP(Base_CRM[[#This Row],[Cód do Cliente]],'[1]F &amp; O'!$A:$A,'[1]F &amp; O'!E:E,"Sem Canal",0,1)</f>
        <v>Sem Canal</v>
      </c>
      <c r="T686" s="11" t="str">
        <f t="shared" si="10"/>
        <v>Cliente XP</v>
      </c>
    </row>
    <row r="687" spans="1:20" x14ac:dyDescent="0.3">
      <c r="A687">
        <v>11673599</v>
      </c>
      <c r="B687" s="8" t="s">
        <v>1543</v>
      </c>
      <c r="C687" s="9" t="s">
        <v>74</v>
      </c>
      <c r="D687" s="8">
        <v>0</v>
      </c>
      <c r="F687" t="s">
        <v>22</v>
      </c>
      <c r="G687" t="s">
        <v>1386</v>
      </c>
      <c r="H687" s="10"/>
      <c r="I687" s="10" t="s">
        <v>31</v>
      </c>
      <c r="J687" t="s">
        <v>1399</v>
      </c>
      <c r="L687" t="s">
        <v>1544</v>
      </c>
      <c r="N687" s="11" t="str">
        <f>Base_CRM[[#This Row],[Cidade]]&amp;"/"&amp;Base_CRM[[#This Row],[Estado]]</f>
        <v>SAO PAULO/SP</v>
      </c>
      <c r="O687" s="12">
        <f>IFERROR(IF(Base_CRM[[#This Row],[PL Tailor]]&gt;Base_CRM[[#This Row],[PL Declarado]],1,Base_CRM[[#This Row],[PL Tailor]]/Base_CRM[[#This Row],[PL Declarado]]),0)</f>
        <v>0</v>
      </c>
      <c r="P687" s="11" t="str">
        <f>IF(Base_CRM[[#This Row],[Estado Civil]]="","PESSOA JURÍDICA","PESSOA FÍSICA")</f>
        <v>PESSOA JURÍDICA</v>
      </c>
      <c r="Q687" t="str">
        <f>_xlfn.XLOOKUP(Base_CRM[[#This Row],[Cód do Cliente]],'[1]F &amp; O'!$A:$A,'[1]F &amp; O'!$F:$F,_xlfn.XLOOKUP(Base_CRM[[#This Row],[Assessor]],[1]DePara!$A:$A,[1]DePara!$D:$D,"Outros",0,1),0,1)</f>
        <v>Thayane Freitas</v>
      </c>
      <c r="R687" s="11" t="str">
        <f>_xlfn.XLOOKUP(Base_CRM[[#This Row],[Cód do Cliente]],'[1]F &amp; O'!$A:$A,'[1]F &amp; O'!D:D,"Sem Finder",0,1)</f>
        <v>Sem Finder</v>
      </c>
      <c r="S687" s="11" t="str">
        <f>_xlfn.XLOOKUP(Base_CRM[[#This Row],[Cód do Cliente]],'[1]F &amp; O'!$A:$A,'[1]F &amp; O'!E:E,"Sem Canal",0,1)</f>
        <v>Sem Canal</v>
      </c>
      <c r="T687" s="11" t="str">
        <f t="shared" si="10"/>
        <v>Cliente XP</v>
      </c>
    </row>
    <row r="688" spans="1:20" x14ac:dyDescent="0.3">
      <c r="A688">
        <v>15080841</v>
      </c>
      <c r="B688" s="8" t="s">
        <v>1545</v>
      </c>
      <c r="C688" s="9" t="s">
        <v>74</v>
      </c>
      <c r="D688" s="8">
        <v>0</v>
      </c>
      <c r="F688" t="s">
        <v>40</v>
      </c>
      <c r="G688" t="s">
        <v>1472</v>
      </c>
      <c r="H688" s="10"/>
      <c r="I688" s="10" t="s">
        <v>31</v>
      </c>
      <c r="J688" t="s">
        <v>1399</v>
      </c>
      <c r="L688" t="s">
        <v>1546</v>
      </c>
      <c r="N688" s="11" t="str">
        <f>Base_CRM[[#This Row],[Cidade]]&amp;"/"&amp;Base_CRM[[#This Row],[Estado]]</f>
        <v>SAO PAULO/SP</v>
      </c>
      <c r="O688" s="12">
        <f>IFERROR(IF(Base_CRM[[#This Row],[PL Tailor]]&gt;Base_CRM[[#This Row],[PL Declarado]],1,Base_CRM[[#This Row],[PL Tailor]]/Base_CRM[[#This Row],[PL Declarado]]),0)</f>
        <v>0</v>
      </c>
      <c r="P688" s="11" t="str">
        <f>IF(Base_CRM[[#This Row],[Estado Civil]]="","PESSOA JURÍDICA","PESSOA FÍSICA")</f>
        <v>PESSOA JURÍDICA</v>
      </c>
      <c r="Q688" t="str">
        <f>_xlfn.XLOOKUP(Base_CRM[[#This Row],[Cód do Cliente]],'[1]F &amp; O'!$A:$A,'[1]F &amp; O'!$F:$F,_xlfn.XLOOKUP(Base_CRM[[#This Row],[Assessor]],[1]DePara!$A:$A,[1]DePara!$D:$D,"Outros",0,1),0,1)</f>
        <v>Thayane Freitas</v>
      </c>
      <c r="R688" s="11" t="str">
        <f>_xlfn.XLOOKUP(Base_CRM[[#This Row],[Cód do Cliente]],'[1]F &amp; O'!$A:$A,'[1]F &amp; O'!D:D,"Sem Finder",0,1)</f>
        <v>Sem Finder</v>
      </c>
      <c r="S688" s="11" t="str">
        <f>_xlfn.XLOOKUP(Base_CRM[[#This Row],[Cód do Cliente]],'[1]F &amp; O'!$A:$A,'[1]F &amp; O'!E:E,"Sem Canal",0,1)</f>
        <v>Sem Canal</v>
      </c>
      <c r="T688" s="11" t="str">
        <f t="shared" si="10"/>
        <v>Cliente XP</v>
      </c>
    </row>
    <row r="689" spans="1:20" x14ac:dyDescent="0.3">
      <c r="A689">
        <v>14910449</v>
      </c>
      <c r="B689" s="8" t="s">
        <v>1547</v>
      </c>
      <c r="C689" s="9" t="s">
        <v>74</v>
      </c>
      <c r="D689" s="8">
        <v>0</v>
      </c>
      <c r="F689" t="s">
        <v>92</v>
      </c>
      <c r="G689" t="s">
        <v>1390</v>
      </c>
      <c r="H689" s="10"/>
      <c r="I689" s="10" t="s">
        <v>24</v>
      </c>
      <c r="J689" t="s">
        <v>1387</v>
      </c>
      <c r="L689" t="s">
        <v>1548</v>
      </c>
      <c r="N689" s="11" t="str">
        <f>Base_CRM[[#This Row],[Cidade]]&amp;"/"&amp;Base_CRM[[#This Row],[Estado]]</f>
        <v>RIO DE JANEIRO/RJ</v>
      </c>
      <c r="O689" s="12">
        <f>IFERROR(IF(Base_CRM[[#This Row],[PL Tailor]]&gt;Base_CRM[[#This Row],[PL Declarado]],1,Base_CRM[[#This Row],[PL Tailor]]/Base_CRM[[#This Row],[PL Declarado]]),0)</f>
        <v>0</v>
      </c>
      <c r="P689" s="11" t="str">
        <f>IF(Base_CRM[[#This Row],[Estado Civil]]="","PESSOA JURÍDICA","PESSOA FÍSICA")</f>
        <v>PESSOA JURÍDICA</v>
      </c>
      <c r="Q689" t="str">
        <f>_xlfn.XLOOKUP(Base_CRM[[#This Row],[Cód do Cliente]],'[1]F &amp; O'!$A:$A,'[1]F &amp; O'!$F:$F,_xlfn.XLOOKUP(Base_CRM[[#This Row],[Assessor]],[1]DePara!$A:$A,[1]DePara!$D:$D,"Outros",0,1),0,1)</f>
        <v>Thayane Freitas</v>
      </c>
      <c r="R689" s="11" t="str">
        <f>_xlfn.XLOOKUP(Base_CRM[[#This Row],[Cód do Cliente]],'[1]F &amp; O'!$A:$A,'[1]F &amp; O'!D:D,"Sem Finder",0,1)</f>
        <v>Sem Finder</v>
      </c>
      <c r="S689" s="11" t="str">
        <f>_xlfn.XLOOKUP(Base_CRM[[#This Row],[Cód do Cliente]],'[1]F &amp; O'!$A:$A,'[1]F &amp; O'!E:E,"Sem Canal",0,1)</f>
        <v>Sem Canal</v>
      </c>
      <c r="T689" s="11" t="str">
        <f t="shared" si="10"/>
        <v>Cliente XP</v>
      </c>
    </row>
    <row r="690" spans="1:20" x14ac:dyDescent="0.3">
      <c r="A690">
        <v>12914405</v>
      </c>
      <c r="B690" s="8" t="s">
        <v>1549</v>
      </c>
      <c r="C690" s="9" t="s">
        <v>66</v>
      </c>
      <c r="D690" s="8">
        <v>0</v>
      </c>
      <c r="F690" t="s">
        <v>40</v>
      </c>
      <c r="G690" t="s">
        <v>1390</v>
      </c>
      <c r="H690" s="10"/>
      <c r="I690" s="10" t="s">
        <v>1501</v>
      </c>
      <c r="J690" t="s">
        <v>1399</v>
      </c>
      <c r="L690" t="s">
        <v>1550</v>
      </c>
      <c r="N690" s="11" t="str">
        <f>Base_CRM[[#This Row],[Cidade]]&amp;"/"&amp;Base_CRM[[#This Row],[Estado]]</f>
        <v>ARACARIGUAMA/SP</v>
      </c>
      <c r="O690" s="12">
        <f>IFERROR(IF(Base_CRM[[#This Row],[PL Tailor]]&gt;Base_CRM[[#This Row],[PL Declarado]],1,Base_CRM[[#This Row],[PL Tailor]]/Base_CRM[[#This Row],[PL Declarado]]),0)</f>
        <v>0</v>
      </c>
      <c r="P690" s="11" t="str">
        <f>IF(Base_CRM[[#This Row],[Estado Civil]]="","PESSOA JURÍDICA","PESSOA FÍSICA")</f>
        <v>PESSOA JURÍDICA</v>
      </c>
      <c r="Q690" t="str">
        <f>_xlfn.XLOOKUP(Base_CRM[[#This Row],[Cód do Cliente]],'[1]F &amp; O'!$A:$A,'[1]F &amp; O'!$F:$F,_xlfn.XLOOKUP(Base_CRM[[#This Row],[Assessor]],[1]DePara!$A:$A,[1]DePara!$D:$D,"Outros",0,1),0,1)</f>
        <v>Caroline Vlavianos</v>
      </c>
      <c r="R690" s="11" t="str">
        <f>_xlfn.XLOOKUP(Base_CRM[[#This Row],[Cód do Cliente]],'[1]F &amp; O'!$A:$A,'[1]F &amp; O'!D:D,"Sem Finder",0,1)</f>
        <v>Sem Finder</v>
      </c>
      <c r="S690" s="11" t="str">
        <f>_xlfn.XLOOKUP(Base_CRM[[#This Row],[Cód do Cliente]],'[1]F &amp; O'!$A:$A,'[1]F &amp; O'!E:E,"Sem Canal",0,1)</f>
        <v>Sem Canal</v>
      </c>
      <c r="T690" s="11" t="str">
        <f t="shared" si="10"/>
        <v>Cliente XP</v>
      </c>
    </row>
    <row r="691" spans="1:20" x14ac:dyDescent="0.3">
      <c r="A691">
        <v>8662423</v>
      </c>
      <c r="B691" s="8" t="s">
        <v>1551</v>
      </c>
      <c r="C691" s="9" t="s">
        <v>21</v>
      </c>
      <c r="D691" s="8">
        <v>0</v>
      </c>
      <c r="F691" t="s">
        <v>40</v>
      </c>
      <c r="G691" t="s">
        <v>1386</v>
      </c>
      <c r="H691" s="10"/>
      <c r="I691" s="10" t="s">
        <v>1552</v>
      </c>
      <c r="J691" t="s">
        <v>1399</v>
      </c>
      <c r="L691" t="s">
        <v>1553</v>
      </c>
      <c r="N691" s="11" t="str">
        <f>Base_CRM[[#This Row],[Cidade]]&amp;"/"&amp;Base_CRM[[#This Row],[Estado]]</f>
        <v>Osasco/SP</v>
      </c>
      <c r="O691" s="12">
        <f>IFERROR(IF(Base_CRM[[#This Row],[PL Tailor]]&gt;Base_CRM[[#This Row],[PL Declarado]],1,Base_CRM[[#This Row],[PL Tailor]]/Base_CRM[[#This Row],[PL Declarado]]),0)</f>
        <v>0</v>
      </c>
      <c r="P691" s="11" t="str">
        <f>IF(Base_CRM[[#This Row],[Estado Civil]]="","PESSOA JURÍDICA","PESSOA FÍSICA")</f>
        <v>PESSOA JURÍDICA</v>
      </c>
      <c r="Q691" t="str">
        <f>_xlfn.XLOOKUP(Base_CRM[[#This Row],[Cód do Cliente]],'[1]F &amp; O'!$A:$A,'[1]F &amp; O'!$F:$F,_xlfn.XLOOKUP(Base_CRM[[#This Row],[Assessor]],[1]DePara!$A:$A,[1]DePara!$D:$D,"Outros",0,1),0,1)</f>
        <v>Leonardo Burle</v>
      </c>
      <c r="R691" s="11" t="str">
        <f>_xlfn.XLOOKUP(Base_CRM[[#This Row],[Cód do Cliente]],'[1]F &amp; O'!$A:$A,'[1]F &amp; O'!D:D,"Sem Finder",0,1)</f>
        <v>Sem Finder</v>
      </c>
      <c r="S691" s="11" t="str">
        <f>_xlfn.XLOOKUP(Base_CRM[[#This Row],[Cód do Cliente]],'[1]F &amp; O'!$A:$A,'[1]F &amp; O'!E:E,"Sem Canal",0,1)</f>
        <v>Sem Canal</v>
      </c>
      <c r="T691" s="11" t="str">
        <f t="shared" si="10"/>
        <v>Cliente XP</v>
      </c>
    </row>
    <row r="692" spans="1:20" x14ac:dyDescent="0.3">
      <c r="A692">
        <v>11782747</v>
      </c>
      <c r="B692" s="8" t="s">
        <v>1554</v>
      </c>
      <c r="C692" s="9" t="s">
        <v>21</v>
      </c>
      <c r="D692" s="8">
        <v>0</v>
      </c>
      <c r="F692" t="s">
        <v>40</v>
      </c>
      <c r="G692" t="s">
        <v>1475</v>
      </c>
      <c r="H692" s="10"/>
      <c r="I692" s="10" t="s">
        <v>24</v>
      </c>
      <c r="J692" t="s">
        <v>1387</v>
      </c>
      <c r="L692" t="s">
        <v>1555</v>
      </c>
      <c r="N692" s="11" t="str">
        <f>Base_CRM[[#This Row],[Cidade]]&amp;"/"&amp;Base_CRM[[#This Row],[Estado]]</f>
        <v>RIO DE JANEIRO/RJ</v>
      </c>
      <c r="O692" s="12">
        <f>IFERROR(IF(Base_CRM[[#This Row],[PL Tailor]]&gt;Base_CRM[[#This Row],[PL Declarado]],1,Base_CRM[[#This Row],[PL Tailor]]/Base_CRM[[#This Row],[PL Declarado]]),0)</f>
        <v>0</v>
      </c>
      <c r="P692" s="11" t="str">
        <f>IF(Base_CRM[[#This Row],[Estado Civil]]="","PESSOA JURÍDICA","PESSOA FÍSICA")</f>
        <v>PESSOA JURÍDICA</v>
      </c>
      <c r="Q692" t="str">
        <f>_xlfn.XLOOKUP(Base_CRM[[#This Row],[Cód do Cliente]],'[1]F &amp; O'!$A:$A,'[1]F &amp; O'!$F:$F,_xlfn.XLOOKUP(Base_CRM[[#This Row],[Assessor]],[1]DePara!$A:$A,[1]DePara!$D:$D,"Outros",0,1),0,1)</f>
        <v>Leonardo Burle</v>
      </c>
      <c r="R692" s="11" t="str">
        <f>_xlfn.XLOOKUP(Base_CRM[[#This Row],[Cód do Cliente]],'[1]F &amp; O'!$A:$A,'[1]F &amp; O'!D:D,"Sem Finder",0,1)</f>
        <v>Sem Finder</v>
      </c>
      <c r="S692" s="11" t="str">
        <f>_xlfn.XLOOKUP(Base_CRM[[#This Row],[Cód do Cliente]],'[1]F &amp; O'!$A:$A,'[1]F &amp; O'!E:E,"Sem Canal",0,1)</f>
        <v>Sem Canal</v>
      </c>
      <c r="T692" s="11" t="str">
        <f t="shared" si="10"/>
        <v>Cliente XP</v>
      </c>
    </row>
    <row r="693" spans="1:20" x14ac:dyDescent="0.3">
      <c r="A693">
        <v>7380010</v>
      </c>
      <c r="B693" s="8" t="s">
        <v>1556</v>
      </c>
      <c r="C693" s="9" t="s">
        <v>39</v>
      </c>
      <c r="D693" s="8">
        <v>1144603.1599999999</v>
      </c>
      <c r="F693" t="s">
        <v>92</v>
      </c>
      <c r="G693" t="s">
        <v>1382</v>
      </c>
      <c r="H693" s="10"/>
      <c r="I693" s="10" t="s">
        <v>1557</v>
      </c>
      <c r="J693" t="s">
        <v>1399</v>
      </c>
      <c r="L693" t="s">
        <v>1558</v>
      </c>
      <c r="N693" s="11" t="str">
        <f>Base_CRM[[#This Row],[Cidade]]&amp;"/"&amp;Base_CRM[[#This Row],[Estado]]</f>
        <v>Itaporanga/SP</v>
      </c>
      <c r="O693" s="12">
        <f>IFERROR(IF(Base_CRM[[#This Row],[PL Tailor]]&gt;Base_CRM[[#This Row],[PL Declarado]],1,Base_CRM[[#This Row],[PL Tailor]]/Base_CRM[[#This Row],[PL Declarado]]),0)</f>
        <v>1</v>
      </c>
      <c r="P693" s="11" t="str">
        <f>IF(Base_CRM[[#This Row],[Estado Civil]]="","PESSOA JURÍDICA","PESSOA FÍSICA")</f>
        <v>PESSOA JURÍDICA</v>
      </c>
      <c r="Q693" t="str">
        <f>_xlfn.XLOOKUP(Base_CRM[[#This Row],[Cód do Cliente]],'[1]F &amp; O'!$A:$A,'[1]F &amp; O'!$F:$F,_xlfn.XLOOKUP(Base_CRM[[#This Row],[Assessor]],[1]DePara!$A:$A,[1]DePara!$D:$D,"Outros",0,1),0,1)</f>
        <v>Gestora</v>
      </c>
      <c r="R693" s="11" t="str">
        <f>_xlfn.XLOOKUP(Base_CRM[[#This Row],[Cód do Cliente]],'[1]F &amp; O'!$A:$A,'[1]F &amp; O'!D:D,"Sem Finder",0,1)</f>
        <v>Sem Finder</v>
      </c>
      <c r="S693" s="11" t="str">
        <f>_xlfn.XLOOKUP(Base_CRM[[#This Row],[Cód do Cliente]],'[1]F &amp; O'!$A:$A,'[1]F &amp; O'!E:E,"Sem Canal",0,1)</f>
        <v>Gestora</v>
      </c>
      <c r="T693" s="11" t="str">
        <f t="shared" si="10"/>
        <v>Cliente XP</v>
      </c>
    </row>
    <row r="694" spans="1:20" x14ac:dyDescent="0.3">
      <c r="A694">
        <v>11865980</v>
      </c>
      <c r="B694" s="8" t="s">
        <v>1559</v>
      </c>
      <c r="C694" s="9" t="s">
        <v>74</v>
      </c>
      <c r="D694" s="8">
        <v>0.03</v>
      </c>
      <c r="F694" t="s">
        <v>40</v>
      </c>
      <c r="G694" t="s">
        <v>1560</v>
      </c>
      <c r="H694" s="10"/>
      <c r="I694" s="10" t="s">
        <v>1561</v>
      </c>
      <c r="J694" t="s">
        <v>1387</v>
      </c>
      <c r="L694" t="s">
        <v>1562</v>
      </c>
      <c r="N694" s="11" t="str">
        <f>Base_CRM[[#This Row],[Cidade]]&amp;"/"&amp;Base_CRM[[#This Row],[Estado]]</f>
        <v>SAO GONCALO/RJ</v>
      </c>
      <c r="O694" s="12">
        <f>IFERROR(IF(Base_CRM[[#This Row],[PL Tailor]]&gt;Base_CRM[[#This Row],[PL Declarado]],1,Base_CRM[[#This Row],[PL Tailor]]/Base_CRM[[#This Row],[PL Declarado]]),0)</f>
        <v>1</v>
      </c>
      <c r="P694" s="11" t="str">
        <f>IF(Base_CRM[[#This Row],[Estado Civil]]="","PESSOA JURÍDICA","PESSOA FÍSICA")</f>
        <v>PESSOA JURÍDICA</v>
      </c>
      <c r="Q694" t="str">
        <f>_xlfn.XLOOKUP(Base_CRM[[#This Row],[Cód do Cliente]],'[1]F &amp; O'!$A:$A,'[1]F &amp; O'!$F:$F,_xlfn.XLOOKUP(Base_CRM[[#This Row],[Assessor]],[1]DePara!$A:$A,[1]DePara!$D:$D,"Outros",0,1),0,1)</f>
        <v>Thayane Freitas</v>
      </c>
      <c r="R694" s="11" t="str">
        <f>_xlfn.XLOOKUP(Base_CRM[[#This Row],[Cód do Cliente]],'[1]F &amp; O'!$A:$A,'[1]F &amp; O'!D:D,"Sem Finder",0,1)</f>
        <v>Sem Finder</v>
      </c>
      <c r="S694" s="11" t="str">
        <f>_xlfn.XLOOKUP(Base_CRM[[#This Row],[Cód do Cliente]],'[1]F &amp; O'!$A:$A,'[1]F &amp; O'!E:E,"Sem Canal",0,1)</f>
        <v>Sem Canal</v>
      </c>
      <c r="T694" s="11" t="str">
        <f t="shared" si="10"/>
        <v>Cliente XP</v>
      </c>
    </row>
    <row r="695" spans="1:20" x14ac:dyDescent="0.3">
      <c r="A695">
        <v>4622887</v>
      </c>
      <c r="B695" s="8" t="s">
        <v>1563</v>
      </c>
      <c r="C695" s="9" t="s">
        <v>74</v>
      </c>
      <c r="D695" s="8">
        <v>0</v>
      </c>
      <c r="F695" t="s">
        <v>92</v>
      </c>
      <c r="G695" t="s">
        <v>1446</v>
      </c>
      <c r="H695" s="10"/>
      <c r="I695" s="10" t="s">
        <v>62</v>
      </c>
      <c r="J695" t="s">
        <v>1387</v>
      </c>
      <c r="L695" t="s">
        <v>1564</v>
      </c>
      <c r="N695" s="11" t="str">
        <f>Base_CRM[[#This Row],[Cidade]]&amp;"/"&amp;Base_CRM[[#This Row],[Estado]]</f>
        <v>Rio de Janeiro/RJ</v>
      </c>
      <c r="O695" s="12">
        <f>IFERROR(IF(Base_CRM[[#This Row],[PL Tailor]]&gt;Base_CRM[[#This Row],[PL Declarado]],1,Base_CRM[[#This Row],[PL Tailor]]/Base_CRM[[#This Row],[PL Declarado]]),0)</f>
        <v>0</v>
      </c>
      <c r="P695" s="11" t="str">
        <f>IF(Base_CRM[[#This Row],[Estado Civil]]="","PESSOA JURÍDICA","PESSOA FÍSICA")</f>
        <v>PESSOA JURÍDICA</v>
      </c>
      <c r="Q695" t="str">
        <f>_xlfn.XLOOKUP(Base_CRM[[#This Row],[Cód do Cliente]],'[1]F &amp; O'!$A:$A,'[1]F &amp; O'!$F:$F,_xlfn.XLOOKUP(Base_CRM[[#This Row],[Assessor]],[1]DePara!$A:$A,[1]DePara!$D:$D,"Outros",0,1),0,1)</f>
        <v>Thayane Freitas</v>
      </c>
      <c r="R695" s="11" t="str">
        <f>_xlfn.XLOOKUP(Base_CRM[[#This Row],[Cód do Cliente]],'[1]F &amp; O'!$A:$A,'[1]F &amp; O'!D:D,"Sem Finder",0,1)</f>
        <v>Sem Finder</v>
      </c>
      <c r="S695" s="11" t="str">
        <f>_xlfn.XLOOKUP(Base_CRM[[#This Row],[Cód do Cliente]],'[1]F &amp; O'!$A:$A,'[1]F &amp; O'!E:E,"Sem Canal",0,1)</f>
        <v>Sem Canal</v>
      </c>
      <c r="T695" s="11" t="str">
        <f t="shared" si="10"/>
        <v>Cliente XP</v>
      </c>
    </row>
    <row r="696" spans="1:20" x14ac:dyDescent="0.3">
      <c r="A696">
        <v>17037981</v>
      </c>
      <c r="B696" s="8" t="s">
        <v>1565</v>
      </c>
      <c r="C696" s="9" t="s">
        <v>21</v>
      </c>
      <c r="D696" s="8">
        <v>7273629.6900000004</v>
      </c>
      <c r="F696" t="s">
        <v>22</v>
      </c>
      <c r="G696" t="s">
        <v>1446</v>
      </c>
      <c r="H696" s="10"/>
      <c r="I696" s="10" t="s">
        <v>31</v>
      </c>
      <c r="J696" t="s">
        <v>1399</v>
      </c>
      <c r="L696" t="s">
        <v>1566</v>
      </c>
      <c r="M696" t="s">
        <v>64</v>
      </c>
      <c r="N696" s="11" t="str">
        <f>Base_CRM[[#This Row],[Cidade]]&amp;"/"&amp;Base_CRM[[#This Row],[Estado]]</f>
        <v>SAO PAULO/SP</v>
      </c>
      <c r="O696" s="12">
        <f>IFERROR(IF(Base_CRM[[#This Row],[PL Tailor]]&gt;Base_CRM[[#This Row],[PL Declarado]],1,Base_CRM[[#This Row],[PL Tailor]]/Base_CRM[[#This Row],[PL Declarado]]),0)</f>
        <v>1</v>
      </c>
      <c r="P696" s="11" t="str">
        <f>IF(Base_CRM[[#This Row],[Estado Civil]]="","PESSOA JURÍDICA","PESSOA FÍSICA")</f>
        <v>PESSOA JURÍDICA</v>
      </c>
      <c r="Q696" t="str">
        <f>_xlfn.XLOOKUP(Base_CRM[[#This Row],[Cód do Cliente]],'[1]F &amp; O'!$A:$A,'[1]F &amp; O'!$F:$F,_xlfn.XLOOKUP(Base_CRM[[#This Row],[Assessor]],[1]DePara!$A:$A,[1]DePara!$D:$D,"Outros",0,1),0,1)</f>
        <v>Leonardo Burle</v>
      </c>
      <c r="R696" s="11" t="str">
        <f>_xlfn.XLOOKUP(Base_CRM[[#This Row],[Cód do Cliente]],'[1]F &amp; O'!$A:$A,'[1]F &amp; O'!D:D,"Sem Finder",0,1)</f>
        <v>Sem Finder</v>
      </c>
      <c r="S696" s="11" t="str">
        <f>_xlfn.XLOOKUP(Base_CRM[[#This Row],[Cód do Cliente]],'[1]F &amp; O'!$A:$A,'[1]F &amp; O'!E:E,"Sem Canal",0,1)</f>
        <v>Sem Canal</v>
      </c>
      <c r="T696" s="11" t="str">
        <f t="shared" si="10"/>
        <v>Cliente XP</v>
      </c>
    </row>
    <row r="697" spans="1:20" x14ac:dyDescent="0.3">
      <c r="A697">
        <v>17100711</v>
      </c>
      <c r="B697" s="8" t="s">
        <v>1565</v>
      </c>
      <c r="C697" s="9" t="s">
        <v>21</v>
      </c>
      <c r="D697" s="8">
        <v>0</v>
      </c>
      <c r="F697" t="s">
        <v>22</v>
      </c>
      <c r="G697" t="s">
        <v>1446</v>
      </c>
      <c r="H697" s="10"/>
      <c r="I697" s="10" t="s">
        <v>31</v>
      </c>
      <c r="J697" t="s">
        <v>1399</v>
      </c>
      <c r="L697" t="s">
        <v>1566</v>
      </c>
      <c r="M697" t="s">
        <v>64</v>
      </c>
      <c r="N697" s="11" t="str">
        <f>Base_CRM[[#This Row],[Cidade]]&amp;"/"&amp;Base_CRM[[#This Row],[Estado]]</f>
        <v>SAO PAULO/SP</v>
      </c>
      <c r="O697" s="12">
        <f>IFERROR(IF(Base_CRM[[#This Row],[PL Tailor]]&gt;Base_CRM[[#This Row],[PL Declarado]],1,Base_CRM[[#This Row],[PL Tailor]]/Base_CRM[[#This Row],[PL Declarado]]),0)</f>
        <v>0</v>
      </c>
      <c r="P697" s="11" t="str">
        <f>IF(Base_CRM[[#This Row],[Estado Civil]]="","PESSOA JURÍDICA","PESSOA FÍSICA")</f>
        <v>PESSOA JURÍDICA</v>
      </c>
      <c r="Q697" t="str">
        <f>_xlfn.XLOOKUP(Base_CRM[[#This Row],[Cód do Cliente]],'[1]F &amp; O'!$A:$A,'[1]F &amp; O'!$F:$F,_xlfn.XLOOKUP(Base_CRM[[#This Row],[Assessor]],[1]DePara!$A:$A,[1]DePara!$D:$D,"Outros",0,1),0,1)</f>
        <v>Leonardo Burle</v>
      </c>
      <c r="R697" s="11" t="str">
        <f>_xlfn.XLOOKUP(Base_CRM[[#This Row],[Cód do Cliente]],'[1]F &amp; O'!$A:$A,'[1]F &amp; O'!D:D,"Sem Finder",0,1)</f>
        <v>Sem Finder</v>
      </c>
      <c r="S697" s="11" t="str">
        <f>_xlfn.XLOOKUP(Base_CRM[[#This Row],[Cód do Cliente]],'[1]F &amp; O'!$A:$A,'[1]F &amp; O'!E:E,"Sem Canal",0,1)</f>
        <v>Sem Canal</v>
      </c>
      <c r="T697" s="11" t="str">
        <f t="shared" si="10"/>
        <v>Cliente XP</v>
      </c>
    </row>
    <row r="698" spans="1:20" x14ac:dyDescent="0.3">
      <c r="A698">
        <v>4989732</v>
      </c>
      <c r="B698" s="8" t="s">
        <v>1567</v>
      </c>
      <c r="C698" s="9" t="s">
        <v>21</v>
      </c>
      <c r="D698" s="8">
        <v>479775.72</v>
      </c>
      <c r="F698" t="s">
        <v>29</v>
      </c>
      <c r="G698" t="s">
        <v>1386</v>
      </c>
      <c r="H698" s="10"/>
      <c r="I698" s="10" t="s">
        <v>24</v>
      </c>
      <c r="J698" t="s">
        <v>1387</v>
      </c>
      <c r="L698" t="s">
        <v>1568</v>
      </c>
      <c r="N698" s="11" t="str">
        <f>Base_CRM[[#This Row],[Cidade]]&amp;"/"&amp;Base_CRM[[#This Row],[Estado]]</f>
        <v>RIO DE JANEIRO/RJ</v>
      </c>
      <c r="O698" s="12">
        <f>IFERROR(IF(Base_CRM[[#This Row],[PL Tailor]]&gt;Base_CRM[[#This Row],[PL Declarado]],1,Base_CRM[[#This Row],[PL Tailor]]/Base_CRM[[#This Row],[PL Declarado]]),0)</f>
        <v>1</v>
      </c>
      <c r="P698" s="11" t="str">
        <f>IF(Base_CRM[[#This Row],[Estado Civil]]="","PESSOA JURÍDICA","PESSOA FÍSICA")</f>
        <v>PESSOA JURÍDICA</v>
      </c>
      <c r="Q698" t="str">
        <f>_xlfn.XLOOKUP(Base_CRM[[#This Row],[Cód do Cliente]],'[1]F &amp; O'!$A:$A,'[1]F &amp; O'!$F:$F,_xlfn.XLOOKUP(Base_CRM[[#This Row],[Assessor]],[1]DePara!$A:$A,[1]DePara!$D:$D,"Outros",0,1),0,1)</f>
        <v>Leonardo Burle</v>
      </c>
      <c r="R698" s="11" t="str">
        <f>_xlfn.XLOOKUP(Base_CRM[[#This Row],[Cód do Cliente]],'[1]F &amp; O'!$A:$A,'[1]F &amp; O'!D:D,"Sem Finder",0,1)</f>
        <v>Sem Finder</v>
      </c>
      <c r="S698" s="11" t="str">
        <f>_xlfn.XLOOKUP(Base_CRM[[#This Row],[Cód do Cliente]],'[1]F &amp; O'!$A:$A,'[1]F &amp; O'!E:E,"Sem Canal",0,1)</f>
        <v>Sem Canal</v>
      </c>
      <c r="T698" s="11" t="str">
        <f t="shared" si="10"/>
        <v>Cliente XP</v>
      </c>
    </row>
    <row r="699" spans="1:20" x14ac:dyDescent="0.3">
      <c r="A699">
        <v>15149982</v>
      </c>
      <c r="B699" s="8" t="s">
        <v>1569</v>
      </c>
      <c r="C699" s="9" t="s">
        <v>103</v>
      </c>
      <c r="D699" s="8">
        <v>0</v>
      </c>
      <c r="F699" t="s">
        <v>29</v>
      </c>
      <c r="G699" t="s">
        <v>1390</v>
      </c>
      <c r="H699" s="10"/>
      <c r="I699" s="10" t="s">
        <v>24</v>
      </c>
      <c r="J699" t="s">
        <v>1387</v>
      </c>
      <c r="L699" t="s">
        <v>1570</v>
      </c>
      <c r="N699" s="11" t="str">
        <f>Base_CRM[[#This Row],[Cidade]]&amp;"/"&amp;Base_CRM[[#This Row],[Estado]]</f>
        <v>RIO DE JANEIRO/RJ</v>
      </c>
      <c r="O699" s="12">
        <f>IFERROR(IF(Base_CRM[[#This Row],[PL Tailor]]&gt;Base_CRM[[#This Row],[PL Declarado]],1,Base_CRM[[#This Row],[PL Tailor]]/Base_CRM[[#This Row],[PL Declarado]]),0)</f>
        <v>0</v>
      </c>
      <c r="P699" s="11" t="str">
        <f>IF(Base_CRM[[#This Row],[Estado Civil]]="","PESSOA JURÍDICA","PESSOA FÍSICA")</f>
        <v>PESSOA JURÍDICA</v>
      </c>
      <c r="Q699" t="str">
        <f>_xlfn.XLOOKUP(Base_CRM[[#This Row],[Cód do Cliente]],'[1]F &amp; O'!$A:$A,'[1]F &amp; O'!$F:$F,_xlfn.XLOOKUP(Base_CRM[[#This Row],[Assessor]],[1]DePara!$A:$A,[1]DePara!$D:$D,"Outros",0,1),0,1)</f>
        <v>Raphael Pereira</v>
      </c>
      <c r="R699" s="11" t="str">
        <f>_xlfn.XLOOKUP(Base_CRM[[#This Row],[Cód do Cliente]],'[1]F &amp; O'!$A:$A,'[1]F &amp; O'!D:D,"Sem Finder",0,1)</f>
        <v>Sem Finder</v>
      </c>
      <c r="S699" s="11" t="str">
        <f>_xlfn.XLOOKUP(Base_CRM[[#This Row],[Cód do Cliente]],'[1]F &amp; O'!$A:$A,'[1]F &amp; O'!E:E,"Sem Canal",0,1)</f>
        <v>Sem Canal</v>
      </c>
      <c r="T699" s="11" t="str">
        <f t="shared" si="10"/>
        <v>Cliente XP</v>
      </c>
    </row>
    <row r="700" spans="1:20" x14ac:dyDescent="0.3">
      <c r="A700">
        <v>14990894</v>
      </c>
      <c r="B700" s="8" t="s">
        <v>1571</v>
      </c>
      <c r="C700" s="9" t="s">
        <v>48</v>
      </c>
      <c r="D700" s="8">
        <v>0</v>
      </c>
      <c r="F700" t="s">
        <v>29</v>
      </c>
      <c r="G700" t="s">
        <v>1386</v>
      </c>
      <c r="H700" s="10"/>
      <c r="I700" s="10" t="s">
        <v>1572</v>
      </c>
      <c r="J700" t="s">
        <v>1495</v>
      </c>
      <c r="L700" t="s">
        <v>1573</v>
      </c>
      <c r="N700" s="11" t="str">
        <f>Base_CRM[[#This Row],[Cidade]]&amp;"/"&amp;Base_CRM[[#This Row],[Estado]]</f>
        <v>Teresina/PI</v>
      </c>
      <c r="O700" s="12">
        <f>IFERROR(IF(Base_CRM[[#This Row],[PL Tailor]]&gt;Base_CRM[[#This Row],[PL Declarado]],1,Base_CRM[[#This Row],[PL Tailor]]/Base_CRM[[#This Row],[PL Declarado]]),0)</f>
        <v>0</v>
      </c>
      <c r="P700" s="11" t="str">
        <f>IF(Base_CRM[[#This Row],[Estado Civil]]="","PESSOA JURÍDICA","PESSOA FÍSICA")</f>
        <v>PESSOA JURÍDICA</v>
      </c>
      <c r="Q700" t="str">
        <f>_xlfn.XLOOKUP(Base_CRM[[#This Row],[Cód do Cliente]],'[1]F &amp; O'!$A:$A,'[1]F &amp; O'!$F:$F,_xlfn.XLOOKUP(Base_CRM[[#This Row],[Assessor]],[1]DePara!$A:$A,[1]DePara!$D:$D,"Outros",0,1),0,1)</f>
        <v>Raphael Farias</v>
      </c>
      <c r="R700" s="11" t="str">
        <f>_xlfn.XLOOKUP(Base_CRM[[#This Row],[Cód do Cliente]],'[1]F &amp; O'!$A:$A,'[1]F &amp; O'!D:D,"Sem Finder",0,1)</f>
        <v>Sem Finder</v>
      </c>
      <c r="S700" s="11" t="str">
        <f>_xlfn.XLOOKUP(Base_CRM[[#This Row],[Cód do Cliente]],'[1]F &amp; O'!$A:$A,'[1]F &amp; O'!E:E,"Sem Canal",0,1)</f>
        <v>Sem Canal</v>
      </c>
      <c r="T700" s="11" t="str">
        <f t="shared" si="10"/>
        <v>Cliente XP</v>
      </c>
    </row>
    <row r="701" spans="1:20" x14ac:dyDescent="0.3">
      <c r="A701">
        <v>11795722</v>
      </c>
      <c r="B701" s="8" t="s">
        <v>1574</v>
      </c>
      <c r="C701" s="9" t="s">
        <v>74</v>
      </c>
      <c r="D701" s="8">
        <v>0</v>
      </c>
      <c r="F701" t="s">
        <v>40</v>
      </c>
      <c r="G701" t="s">
        <v>1390</v>
      </c>
      <c r="H701" s="10"/>
      <c r="I701" s="10" t="s">
        <v>463</v>
      </c>
      <c r="J701" t="s">
        <v>1420</v>
      </c>
      <c r="L701" t="s">
        <v>1575</v>
      </c>
      <c r="N701" s="11" t="str">
        <f>Base_CRM[[#This Row],[Cidade]]&amp;"/"&amp;Base_CRM[[#This Row],[Estado]]</f>
        <v>BRASILIA/DF</v>
      </c>
      <c r="O701" s="12">
        <f>IFERROR(IF(Base_CRM[[#This Row],[PL Tailor]]&gt;Base_CRM[[#This Row],[PL Declarado]],1,Base_CRM[[#This Row],[PL Tailor]]/Base_CRM[[#This Row],[PL Declarado]]),0)</f>
        <v>0</v>
      </c>
      <c r="P701" s="11" t="str">
        <f>IF(Base_CRM[[#This Row],[Estado Civil]]="","PESSOA JURÍDICA","PESSOA FÍSICA")</f>
        <v>PESSOA JURÍDICA</v>
      </c>
      <c r="Q701" t="str">
        <f>_xlfn.XLOOKUP(Base_CRM[[#This Row],[Cód do Cliente]],'[1]F &amp; O'!$A:$A,'[1]F &amp; O'!$F:$F,_xlfn.XLOOKUP(Base_CRM[[#This Row],[Assessor]],[1]DePara!$A:$A,[1]DePara!$D:$D,"Outros",0,1),0,1)</f>
        <v>Thayane Freitas</v>
      </c>
      <c r="R701" s="11" t="str">
        <f>_xlfn.XLOOKUP(Base_CRM[[#This Row],[Cód do Cliente]],'[1]F &amp; O'!$A:$A,'[1]F &amp; O'!D:D,"Sem Finder",0,1)</f>
        <v>Sem Finder</v>
      </c>
      <c r="S701" s="11" t="str">
        <f>_xlfn.XLOOKUP(Base_CRM[[#This Row],[Cód do Cliente]],'[1]F &amp; O'!$A:$A,'[1]F &amp; O'!E:E,"Sem Canal",0,1)</f>
        <v>Sem Canal</v>
      </c>
      <c r="T701" s="11" t="str">
        <f t="shared" si="10"/>
        <v>Cliente XP</v>
      </c>
    </row>
    <row r="702" spans="1:20" x14ac:dyDescent="0.3">
      <c r="A702">
        <v>15692555</v>
      </c>
      <c r="B702" s="8" t="s">
        <v>1576</v>
      </c>
      <c r="C702" s="9" t="s">
        <v>39</v>
      </c>
      <c r="D702" s="8">
        <v>194.36</v>
      </c>
      <c r="F702" t="s">
        <v>22</v>
      </c>
      <c r="G702" t="s">
        <v>1446</v>
      </c>
      <c r="H702" s="10"/>
      <c r="I702" s="10" t="s">
        <v>1259</v>
      </c>
      <c r="J702" t="s">
        <v>1399</v>
      </c>
      <c r="L702" t="s">
        <v>1577</v>
      </c>
      <c r="N702" s="11" t="str">
        <f>Base_CRM[[#This Row],[Cidade]]&amp;"/"&amp;Base_CRM[[#This Row],[Estado]]</f>
        <v>SANTA BARBARA D'OESTE/SP</v>
      </c>
      <c r="O702" s="12">
        <f>IFERROR(IF(Base_CRM[[#This Row],[PL Tailor]]&gt;Base_CRM[[#This Row],[PL Declarado]],1,Base_CRM[[#This Row],[PL Tailor]]/Base_CRM[[#This Row],[PL Declarado]]),0)</f>
        <v>1</v>
      </c>
      <c r="P702" s="11" t="str">
        <f>IF(Base_CRM[[#This Row],[Estado Civil]]="","PESSOA JURÍDICA","PESSOA FÍSICA")</f>
        <v>PESSOA JURÍDICA</v>
      </c>
      <c r="Q702" t="str">
        <f>_xlfn.XLOOKUP(Base_CRM[[#This Row],[Cód do Cliente]],'[1]F &amp; O'!$A:$A,'[1]F &amp; O'!$F:$F,_xlfn.XLOOKUP(Base_CRM[[#This Row],[Assessor]],[1]DePara!$A:$A,[1]DePara!$D:$D,"Outros",0,1),0,1)</f>
        <v>Gestora</v>
      </c>
      <c r="R702" s="11" t="str">
        <f>_xlfn.XLOOKUP(Base_CRM[[#This Row],[Cód do Cliente]],'[1]F &amp; O'!$A:$A,'[1]F &amp; O'!D:D,"Sem Finder",0,1)</f>
        <v>Sem Finder</v>
      </c>
      <c r="S702" s="11" t="str">
        <f>_xlfn.XLOOKUP(Base_CRM[[#This Row],[Cód do Cliente]],'[1]F &amp; O'!$A:$A,'[1]F &amp; O'!E:E,"Sem Canal",0,1)</f>
        <v>Gestora</v>
      </c>
      <c r="T702" s="11" t="str">
        <f t="shared" si="10"/>
        <v>Cliente XP</v>
      </c>
    </row>
    <row r="703" spans="1:20" x14ac:dyDescent="0.3">
      <c r="A703">
        <v>15801854</v>
      </c>
      <c r="B703" s="8" t="s">
        <v>1578</v>
      </c>
      <c r="C703" s="9" t="s">
        <v>21</v>
      </c>
      <c r="D703" s="8">
        <v>0</v>
      </c>
      <c r="F703" t="s">
        <v>40</v>
      </c>
      <c r="G703" t="s">
        <v>1386</v>
      </c>
      <c r="H703" s="10"/>
      <c r="I703" s="10" t="s">
        <v>1530</v>
      </c>
      <c r="J703" t="s">
        <v>1531</v>
      </c>
      <c r="L703" t="s">
        <v>1579</v>
      </c>
      <c r="N703" s="11" t="str">
        <f>Base_CRM[[#This Row],[Cidade]]&amp;"/"&amp;Base_CRM[[#This Row],[Estado]]</f>
        <v>BELO HORIZONTE/MG</v>
      </c>
      <c r="O703" s="12">
        <f>IFERROR(IF(Base_CRM[[#This Row],[PL Tailor]]&gt;Base_CRM[[#This Row],[PL Declarado]],1,Base_CRM[[#This Row],[PL Tailor]]/Base_CRM[[#This Row],[PL Declarado]]),0)</f>
        <v>0</v>
      </c>
      <c r="P703" s="11" t="str">
        <f>IF(Base_CRM[[#This Row],[Estado Civil]]="","PESSOA JURÍDICA","PESSOA FÍSICA")</f>
        <v>PESSOA JURÍDICA</v>
      </c>
      <c r="Q703" t="str">
        <f>_xlfn.XLOOKUP(Base_CRM[[#This Row],[Cód do Cliente]],'[1]F &amp; O'!$A:$A,'[1]F &amp; O'!$F:$F,_xlfn.XLOOKUP(Base_CRM[[#This Row],[Assessor]],[1]DePara!$A:$A,[1]DePara!$D:$D,"Outros",0,1),0,1)</f>
        <v>Leonardo Burle</v>
      </c>
      <c r="R703" s="11" t="str">
        <f>_xlfn.XLOOKUP(Base_CRM[[#This Row],[Cód do Cliente]],'[1]F &amp; O'!$A:$A,'[1]F &amp; O'!D:D,"Sem Finder",0,1)</f>
        <v>Sem Finder</v>
      </c>
      <c r="S703" s="11" t="str">
        <f>_xlfn.XLOOKUP(Base_CRM[[#This Row],[Cód do Cliente]],'[1]F &amp; O'!$A:$A,'[1]F &amp; O'!E:E,"Sem Canal",0,1)</f>
        <v>Sem Canal</v>
      </c>
      <c r="T703" s="11" t="str">
        <f t="shared" si="10"/>
        <v>Cliente XP</v>
      </c>
    </row>
    <row r="704" spans="1:20" x14ac:dyDescent="0.3">
      <c r="A704">
        <v>13969134</v>
      </c>
      <c r="B704" s="8" t="s">
        <v>1580</v>
      </c>
      <c r="C704" s="9" t="s">
        <v>74</v>
      </c>
      <c r="D704" s="8">
        <v>0.02</v>
      </c>
      <c r="F704" t="s">
        <v>40</v>
      </c>
      <c r="G704" t="s">
        <v>1386</v>
      </c>
      <c r="H704" s="10"/>
      <c r="I704" s="10" t="s">
        <v>1581</v>
      </c>
      <c r="J704" t="s">
        <v>1399</v>
      </c>
      <c r="L704" t="s">
        <v>1582</v>
      </c>
      <c r="N704" s="11" t="str">
        <f>Base_CRM[[#This Row],[Cidade]]&amp;"/"&amp;Base_CRM[[#This Row],[Estado]]</f>
        <v>Diadema/SP</v>
      </c>
      <c r="O704" s="12">
        <f>IFERROR(IF(Base_CRM[[#This Row],[PL Tailor]]&gt;Base_CRM[[#This Row],[PL Declarado]],1,Base_CRM[[#This Row],[PL Tailor]]/Base_CRM[[#This Row],[PL Declarado]]),0)</f>
        <v>1</v>
      </c>
      <c r="P704" s="11" t="str">
        <f>IF(Base_CRM[[#This Row],[Estado Civil]]="","PESSOA JURÍDICA","PESSOA FÍSICA")</f>
        <v>PESSOA JURÍDICA</v>
      </c>
      <c r="Q704" t="str">
        <f>_xlfn.XLOOKUP(Base_CRM[[#This Row],[Cód do Cliente]],'[1]F &amp; O'!$A:$A,'[1]F &amp; O'!$F:$F,_xlfn.XLOOKUP(Base_CRM[[#This Row],[Assessor]],[1]DePara!$A:$A,[1]DePara!$D:$D,"Outros",0,1),0,1)</f>
        <v>Thayane Freitas</v>
      </c>
      <c r="R704" s="11" t="str">
        <f>_xlfn.XLOOKUP(Base_CRM[[#This Row],[Cód do Cliente]],'[1]F &amp; O'!$A:$A,'[1]F &amp; O'!D:D,"Sem Finder",0,1)</f>
        <v>Sem Finder</v>
      </c>
      <c r="S704" s="11" t="str">
        <f>_xlfn.XLOOKUP(Base_CRM[[#This Row],[Cód do Cliente]],'[1]F &amp; O'!$A:$A,'[1]F &amp; O'!E:E,"Sem Canal",0,1)</f>
        <v>Sem Canal</v>
      </c>
      <c r="T704" s="11" t="str">
        <f t="shared" si="10"/>
        <v>Cliente XP</v>
      </c>
    </row>
    <row r="705" spans="1:20" x14ac:dyDescent="0.3">
      <c r="A705">
        <v>17675274</v>
      </c>
      <c r="B705" s="8" t="s">
        <v>1583</v>
      </c>
      <c r="C705" s="9" t="s">
        <v>21</v>
      </c>
      <c r="D705" s="8">
        <v>0</v>
      </c>
      <c r="G705" t="s">
        <v>1584</v>
      </c>
      <c r="H705" s="10"/>
      <c r="I705" s="10" t="s">
        <v>1585</v>
      </c>
      <c r="J705" t="s">
        <v>1396</v>
      </c>
      <c r="L705" t="s">
        <v>1586</v>
      </c>
      <c r="N705" s="11" t="str">
        <f>Base_CRM[[#This Row],[Cidade]]&amp;"/"&amp;Base_CRM[[#This Row],[Estado]]</f>
        <v>SANTA TEREZA DO OESTE/PR</v>
      </c>
      <c r="O705" s="12">
        <f>IFERROR(IF(Base_CRM[[#This Row],[PL Tailor]]&gt;Base_CRM[[#This Row],[PL Declarado]],1,Base_CRM[[#This Row],[PL Tailor]]/Base_CRM[[#This Row],[PL Declarado]]),0)</f>
        <v>0</v>
      </c>
      <c r="P705" s="11" t="str">
        <f>IF(Base_CRM[[#This Row],[Estado Civil]]="","PESSOA JURÍDICA","PESSOA FÍSICA")</f>
        <v>PESSOA JURÍDICA</v>
      </c>
      <c r="Q705" t="str">
        <f>_xlfn.XLOOKUP(Base_CRM[[#This Row],[Cód do Cliente]],'[1]F &amp; O'!$A:$A,'[1]F &amp; O'!$F:$F,_xlfn.XLOOKUP(Base_CRM[[#This Row],[Assessor]],[1]DePara!$A:$A,[1]DePara!$D:$D,"Outros",0,1),0,1)</f>
        <v>Leonardo Burle</v>
      </c>
      <c r="R705" s="11" t="str">
        <f>_xlfn.XLOOKUP(Base_CRM[[#This Row],[Cód do Cliente]],'[1]F &amp; O'!$A:$A,'[1]F &amp; O'!D:D,"Sem Finder",0,1)</f>
        <v>Sem Finder</v>
      </c>
      <c r="S705" s="11" t="str">
        <f>_xlfn.XLOOKUP(Base_CRM[[#This Row],[Cód do Cliente]],'[1]F &amp; O'!$A:$A,'[1]F &amp; O'!E:E,"Sem Canal",0,1)</f>
        <v>Sem Canal</v>
      </c>
      <c r="T705" s="11" t="str">
        <f t="shared" si="10"/>
        <v>Cliente XP</v>
      </c>
    </row>
    <row r="706" spans="1:20" x14ac:dyDescent="0.3">
      <c r="A706">
        <v>13969081</v>
      </c>
      <c r="B706" s="8" t="s">
        <v>1587</v>
      </c>
      <c r="C706" s="9" t="s">
        <v>103</v>
      </c>
      <c r="D706" s="8">
        <v>112525.89</v>
      </c>
      <c r="F706" t="s">
        <v>29</v>
      </c>
      <c r="G706" t="s">
        <v>1386</v>
      </c>
      <c r="H706" s="10"/>
      <c r="I706" s="10" t="s">
        <v>31</v>
      </c>
      <c r="J706" t="s">
        <v>1399</v>
      </c>
      <c r="L706" t="s">
        <v>1588</v>
      </c>
      <c r="N706" s="11" t="str">
        <f>Base_CRM[[#This Row],[Cidade]]&amp;"/"&amp;Base_CRM[[#This Row],[Estado]]</f>
        <v>SAO PAULO/SP</v>
      </c>
      <c r="O706" s="12">
        <f>IFERROR(IF(Base_CRM[[#This Row],[PL Tailor]]&gt;Base_CRM[[#This Row],[PL Declarado]],1,Base_CRM[[#This Row],[PL Tailor]]/Base_CRM[[#This Row],[PL Declarado]]),0)</f>
        <v>1</v>
      </c>
      <c r="P706" s="11" t="str">
        <f>IF(Base_CRM[[#This Row],[Estado Civil]]="","PESSOA JURÍDICA","PESSOA FÍSICA")</f>
        <v>PESSOA JURÍDICA</v>
      </c>
      <c r="Q706" t="str">
        <f>_xlfn.XLOOKUP(Base_CRM[[#This Row],[Cód do Cliente]],'[1]F &amp; O'!$A:$A,'[1]F &amp; O'!$F:$F,_xlfn.XLOOKUP(Base_CRM[[#This Row],[Assessor]],[1]DePara!$A:$A,[1]DePara!$D:$D,"Outros",0,1),0,1)</f>
        <v>Raphael Pereira</v>
      </c>
      <c r="R706" s="11" t="str">
        <f>_xlfn.XLOOKUP(Base_CRM[[#This Row],[Cód do Cliente]],'[1]F &amp; O'!$A:$A,'[1]F &amp; O'!D:D,"Sem Finder",0,1)</f>
        <v>Sem Finder</v>
      </c>
      <c r="S706" s="11" t="str">
        <f>_xlfn.XLOOKUP(Base_CRM[[#This Row],[Cód do Cliente]],'[1]F &amp; O'!$A:$A,'[1]F &amp; O'!E:E,"Sem Canal",0,1)</f>
        <v>Sem Canal</v>
      </c>
      <c r="T706" s="11" t="str">
        <f t="shared" ref="T706:T769" si="11">"Cliente XP"</f>
        <v>Cliente XP</v>
      </c>
    </row>
    <row r="707" spans="1:20" x14ac:dyDescent="0.3">
      <c r="A707">
        <v>9861046</v>
      </c>
      <c r="B707" s="8" t="s">
        <v>1589</v>
      </c>
      <c r="C707" s="9" t="s">
        <v>103</v>
      </c>
      <c r="D707" s="8">
        <v>6606588.2400000002</v>
      </c>
      <c r="F707" t="s">
        <v>92</v>
      </c>
      <c r="G707" t="s">
        <v>1458</v>
      </c>
      <c r="H707" s="10"/>
      <c r="I707" s="10" t="s">
        <v>84</v>
      </c>
      <c r="J707" t="s">
        <v>1387</v>
      </c>
      <c r="L707" t="s">
        <v>1590</v>
      </c>
      <c r="N707" s="11" t="str">
        <f>Base_CRM[[#This Row],[Cidade]]&amp;"/"&amp;Base_CRM[[#This Row],[Estado]]</f>
        <v>NITEROI/RJ</v>
      </c>
      <c r="O707" s="12">
        <f>IFERROR(IF(Base_CRM[[#This Row],[PL Tailor]]&gt;Base_CRM[[#This Row],[PL Declarado]],1,Base_CRM[[#This Row],[PL Tailor]]/Base_CRM[[#This Row],[PL Declarado]]),0)</f>
        <v>1</v>
      </c>
      <c r="P707" s="11" t="str">
        <f>IF(Base_CRM[[#This Row],[Estado Civil]]="","PESSOA JURÍDICA","PESSOA FÍSICA")</f>
        <v>PESSOA JURÍDICA</v>
      </c>
      <c r="Q707" t="str">
        <f>_xlfn.XLOOKUP(Base_CRM[[#This Row],[Cód do Cliente]],'[1]F &amp; O'!$A:$A,'[1]F &amp; O'!$F:$F,_xlfn.XLOOKUP(Base_CRM[[#This Row],[Assessor]],[1]DePara!$A:$A,[1]DePara!$D:$D,"Outros",0,1),0,1)</f>
        <v>Raphael Pereira</v>
      </c>
      <c r="R707" s="11" t="str">
        <f>_xlfn.XLOOKUP(Base_CRM[[#This Row],[Cód do Cliente]],'[1]F &amp; O'!$A:$A,'[1]F &amp; O'!D:D,"Sem Finder",0,1)</f>
        <v>Gustavo Faria</v>
      </c>
      <c r="S707" s="11" t="str">
        <f>_xlfn.XLOOKUP(Base_CRM[[#This Row],[Cód do Cliente]],'[1]F &amp; O'!$A:$A,'[1]F &amp; O'!E:E,"Sem Canal",0,1)</f>
        <v>Sem Canal</v>
      </c>
      <c r="T707" s="11" t="str">
        <f t="shared" si="11"/>
        <v>Cliente XP</v>
      </c>
    </row>
    <row r="708" spans="1:20" x14ac:dyDescent="0.3">
      <c r="A708">
        <v>18894827</v>
      </c>
      <c r="B708" s="8" t="s">
        <v>1591</v>
      </c>
      <c r="C708" s="9" t="s">
        <v>74</v>
      </c>
      <c r="D708" s="8">
        <v>0</v>
      </c>
      <c r="G708" t="s">
        <v>1390</v>
      </c>
      <c r="H708" s="10"/>
      <c r="I708" s="10" t="s">
        <v>1592</v>
      </c>
      <c r="J708" t="s">
        <v>1593</v>
      </c>
      <c r="L708" t="s">
        <v>1594</v>
      </c>
      <c r="N708" s="11" t="str">
        <f>Base_CRM[[#This Row],[Cidade]]&amp;"/"&amp;Base_CRM[[#This Row],[Estado]]</f>
        <v>EUSEBIO/CE</v>
      </c>
      <c r="O708" s="12">
        <f>IFERROR(IF(Base_CRM[[#This Row],[PL Tailor]]&gt;Base_CRM[[#This Row],[PL Declarado]],1,Base_CRM[[#This Row],[PL Tailor]]/Base_CRM[[#This Row],[PL Declarado]]),0)</f>
        <v>0</v>
      </c>
      <c r="P708" s="11" t="str">
        <f>IF(Base_CRM[[#This Row],[Estado Civil]]="","PESSOA JURÍDICA","PESSOA FÍSICA")</f>
        <v>PESSOA JURÍDICA</v>
      </c>
      <c r="Q708" t="str">
        <f>_xlfn.XLOOKUP(Base_CRM[[#This Row],[Cód do Cliente]],'[1]F &amp; O'!$A:$A,'[1]F &amp; O'!$F:$F,_xlfn.XLOOKUP(Base_CRM[[#This Row],[Assessor]],[1]DePara!$A:$A,[1]DePara!$D:$D,"Outros",0,1),0,1)</f>
        <v>Thayane Freitas</v>
      </c>
      <c r="R708" s="11" t="str">
        <f>_xlfn.XLOOKUP(Base_CRM[[#This Row],[Cód do Cliente]],'[1]F &amp; O'!$A:$A,'[1]F &amp; O'!D:D,"Sem Finder",0,1)</f>
        <v>Sem Finder</v>
      </c>
      <c r="S708" s="11" t="str">
        <f>_xlfn.XLOOKUP(Base_CRM[[#This Row],[Cód do Cliente]],'[1]F &amp; O'!$A:$A,'[1]F &amp; O'!E:E,"Sem Canal",0,1)</f>
        <v>Sem Canal</v>
      </c>
      <c r="T708" s="11" t="str">
        <f t="shared" si="11"/>
        <v>Cliente XP</v>
      </c>
    </row>
    <row r="709" spans="1:20" x14ac:dyDescent="0.3">
      <c r="A709">
        <v>11257920</v>
      </c>
      <c r="B709" s="8" t="s">
        <v>1595</v>
      </c>
      <c r="C709" s="9" t="s">
        <v>21</v>
      </c>
      <c r="D709" s="8">
        <v>0</v>
      </c>
      <c r="F709" t="s">
        <v>22</v>
      </c>
      <c r="G709" t="s">
        <v>1390</v>
      </c>
      <c r="H709" s="10"/>
      <c r="I709" s="10" t="s">
        <v>24</v>
      </c>
      <c r="J709" t="s">
        <v>1387</v>
      </c>
      <c r="L709" t="s">
        <v>1596</v>
      </c>
      <c r="N709" s="11" t="str">
        <f>Base_CRM[[#This Row],[Cidade]]&amp;"/"&amp;Base_CRM[[#This Row],[Estado]]</f>
        <v>RIO DE JANEIRO/RJ</v>
      </c>
      <c r="O709" s="12">
        <f>IFERROR(IF(Base_CRM[[#This Row],[PL Tailor]]&gt;Base_CRM[[#This Row],[PL Declarado]],1,Base_CRM[[#This Row],[PL Tailor]]/Base_CRM[[#This Row],[PL Declarado]]),0)</f>
        <v>0</v>
      </c>
      <c r="P709" s="11" t="str">
        <f>IF(Base_CRM[[#This Row],[Estado Civil]]="","PESSOA JURÍDICA","PESSOA FÍSICA")</f>
        <v>PESSOA JURÍDICA</v>
      </c>
      <c r="Q709" t="str">
        <f>_xlfn.XLOOKUP(Base_CRM[[#This Row],[Cód do Cliente]],'[1]F &amp; O'!$A:$A,'[1]F &amp; O'!$F:$F,_xlfn.XLOOKUP(Base_CRM[[#This Row],[Assessor]],[1]DePara!$A:$A,[1]DePara!$D:$D,"Outros",0,1),0,1)</f>
        <v>Leonardo Burle</v>
      </c>
      <c r="R709" s="11" t="str">
        <f>_xlfn.XLOOKUP(Base_CRM[[#This Row],[Cód do Cliente]],'[1]F &amp; O'!$A:$A,'[1]F &amp; O'!D:D,"Sem Finder",0,1)</f>
        <v>Sem Finder</v>
      </c>
      <c r="S709" s="11" t="str">
        <f>_xlfn.XLOOKUP(Base_CRM[[#This Row],[Cód do Cliente]],'[1]F &amp; O'!$A:$A,'[1]F &amp; O'!E:E,"Sem Canal",0,1)</f>
        <v>Sem Canal</v>
      </c>
      <c r="T709" s="11" t="str">
        <f t="shared" si="11"/>
        <v>Cliente XP</v>
      </c>
    </row>
    <row r="710" spans="1:20" x14ac:dyDescent="0.3">
      <c r="A710">
        <v>14553874</v>
      </c>
      <c r="B710" s="8" t="s">
        <v>1597</v>
      </c>
      <c r="C710" s="9" t="s">
        <v>39</v>
      </c>
      <c r="D710" s="8">
        <v>0</v>
      </c>
      <c r="F710" t="s">
        <v>40</v>
      </c>
      <c r="G710" t="s">
        <v>1446</v>
      </c>
      <c r="H710" s="10"/>
      <c r="I710" s="10" t="s">
        <v>115</v>
      </c>
      <c r="J710" t="s">
        <v>1399</v>
      </c>
      <c r="L710" t="s">
        <v>1598</v>
      </c>
      <c r="N710" s="11" t="str">
        <f>Base_CRM[[#This Row],[Cidade]]&amp;"/"&amp;Base_CRM[[#This Row],[Estado]]</f>
        <v>BARUERI/SP</v>
      </c>
      <c r="O710" s="12">
        <f>IFERROR(IF(Base_CRM[[#This Row],[PL Tailor]]&gt;Base_CRM[[#This Row],[PL Declarado]],1,Base_CRM[[#This Row],[PL Tailor]]/Base_CRM[[#This Row],[PL Declarado]]),0)</f>
        <v>0</v>
      </c>
      <c r="P710" s="11" t="str">
        <f>IF(Base_CRM[[#This Row],[Estado Civil]]="","PESSOA JURÍDICA","PESSOA FÍSICA")</f>
        <v>PESSOA JURÍDICA</v>
      </c>
      <c r="Q710" t="str">
        <f>_xlfn.XLOOKUP(Base_CRM[[#This Row],[Cód do Cliente]],'[1]F &amp; O'!$A:$A,'[1]F &amp; O'!$F:$F,_xlfn.XLOOKUP(Base_CRM[[#This Row],[Assessor]],[1]DePara!$A:$A,[1]DePara!$D:$D,"Outros",0,1),0,1)</f>
        <v>Gestora</v>
      </c>
      <c r="R710" s="11" t="str">
        <f>_xlfn.XLOOKUP(Base_CRM[[#This Row],[Cód do Cliente]],'[1]F &amp; O'!$A:$A,'[1]F &amp; O'!D:D,"Sem Finder",0,1)</f>
        <v>Sem Finder</v>
      </c>
      <c r="S710" s="11" t="str">
        <f>_xlfn.XLOOKUP(Base_CRM[[#This Row],[Cód do Cliente]],'[1]F &amp; O'!$A:$A,'[1]F &amp; O'!E:E,"Sem Canal",0,1)</f>
        <v>Gestora</v>
      </c>
      <c r="T710" s="11" t="str">
        <f t="shared" si="11"/>
        <v>Cliente XP</v>
      </c>
    </row>
    <row r="711" spans="1:20" x14ac:dyDescent="0.3">
      <c r="A711">
        <v>18905642</v>
      </c>
      <c r="B711" s="8" t="s">
        <v>1599</v>
      </c>
      <c r="C711" s="9" t="s">
        <v>21</v>
      </c>
      <c r="D711" s="8">
        <v>0</v>
      </c>
      <c r="G711" t="s">
        <v>1382</v>
      </c>
      <c r="H711" s="10"/>
      <c r="I711" s="10" t="s">
        <v>1600</v>
      </c>
      <c r="J711" t="s">
        <v>1387</v>
      </c>
      <c r="L711" t="s">
        <v>1601</v>
      </c>
      <c r="N711" s="11" t="str">
        <f>Base_CRM[[#This Row],[Cidade]]&amp;"/"&amp;Base_CRM[[#This Row],[Estado]]</f>
        <v>RIO BONITO/RJ</v>
      </c>
      <c r="O711" s="12">
        <f>IFERROR(IF(Base_CRM[[#This Row],[PL Tailor]]&gt;Base_CRM[[#This Row],[PL Declarado]],1,Base_CRM[[#This Row],[PL Tailor]]/Base_CRM[[#This Row],[PL Declarado]]),0)</f>
        <v>0</v>
      </c>
      <c r="P711" s="11" t="str">
        <f>IF(Base_CRM[[#This Row],[Estado Civil]]="","PESSOA JURÍDICA","PESSOA FÍSICA")</f>
        <v>PESSOA JURÍDICA</v>
      </c>
      <c r="Q711" t="str">
        <f>_xlfn.XLOOKUP(Base_CRM[[#This Row],[Cód do Cliente]],'[1]F &amp; O'!$A:$A,'[1]F &amp; O'!$F:$F,_xlfn.XLOOKUP(Base_CRM[[#This Row],[Assessor]],[1]DePara!$A:$A,[1]DePara!$D:$D,"Outros",0,1),0,1)</f>
        <v>Leonardo Burle</v>
      </c>
      <c r="R711" s="11" t="str">
        <f>_xlfn.XLOOKUP(Base_CRM[[#This Row],[Cód do Cliente]],'[1]F &amp; O'!$A:$A,'[1]F &amp; O'!D:D,"Sem Finder",0,1)</f>
        <v>Sem Finder</v>
      </c>
      <c r="S711" s="11" t="str">
        <f>_xlfn.XLOOKUP(Base_CRM[[#This Row],[Cód do Cliente]],'[1]F &amp; O'!$A:$A,'[1]F &amp; O'!E:E,"Sem Canal",0,1)</f>
        <v>Sem Canal</v>
      </c>
      <c r="T711" s="11" t="str">
        <f t="shared" si="11"/>
        <v>Cliente XP</v>
      </c>
    </row>
    <row r="712" spans="1:20" x14ac:dyDescent="0.3">
      <c r="A712">
        <v>9081774</v>
      </c>
      <c r="B712" s="8" t="s">
        <v>1602</v>
      </c>
      <c r="C712" s="9" t="s">
        <v>21</v>
      </c>
      <c r="D712" s="8">
        <v>0</v>
      </c>
      <c r="F712" t="s">
        <v>40</v>
      </c>
      <c r="G712" t="s">
        <v>1390</v>
      </c>
      <c r="H712" s="10"/>
      <c r="I712" s="10" t="s">
        <v>24</v>
      </c>
      <c r="J712" t="s">
        <v>1387</v>
      </c>
      <c r="L712" t="s">
        <v>1603</v>
      </c>
      <c r="N712" s="11" t="str">
        <f>Base_CRM[[#This Row],[Cidade]]&amp;"/"&amp;Base_CRM[[#This Row],[Estado]]</f>
        <v>RIO DE JANEIRO/RJ</v>
      </c>
      <c r="O712" s="12">
        <f>IFERROR(IF(Base_CRM[[#This Row],[PL Tailor]]&gt;Base_CRM[[#This Row],[PL Declarado]],1,Base_CRM[[#This Row],[PL Tailor]]/Base_CRM[[#This Row],[PL Declarado]]),0)</f>
        <v>0</v>
      </c>
      <c r="P712" s="11" t="str">
        <f>IF(Base_CRM[[#This Row],[Estado Civil]]="","PESSOA JURÍDICA","PESSOA FÍSICA")</f>
        <v>PESSOA JURÍDICA</v>
      </c>
      <c r="Q712" t="str">
        <f>_xlfn.XLOOKUP(Base_CRM[[#This Row],[Cód do Cliente]],'[1]F &amp; O'!$A:$A,'[1]F &amp; O'!$F:$F,_xlfn.XLOOKUP(Base_CRM[[#This Row],[Assessor]],[1]DePara!$A:$A,[1]DePara!$D:$D,"Outros",0,1),0,1)</f>
        <v>Leonardo Burle</v>
      </c>
      <c r="R712" s="11" t="str">
        <f>_xlfn.XLOOKUP(Base_CRM[[#This Row],[Cód do Cliente]],'[1]F &amp; O'!$A:$A,'[1]F &amp; O'!D:D,"Sem Finder",0,1)</f>
        <v>Sem Finder</v>
      </c>
      <c r="S712" s="11" t="str">
        <f>_xlfn.XLOOKUP(Base_CRM[[#This Row],[Cód do Cliente]],'[1]F &amp; O'!$A:$A,'[1]F &amp; O'!E:E,"Sem Canal",0,1)</f>
        <v>Sem Canal</v>
      </c>
      <c r="T712" s="11" t="str">
        <f t="shared" si="11"/>
        <v>Cliente XP</v>
      </c>
    </row>
    <row r="713" spans="1:20" x14ac:dyDescent="0.3">
      <c r="A713">
        <v>14289973</v>
      </c>
      <c r="B713" s="8" t="s">
        <v>1604</v>
      </c>
      <c r="C713" s="9" t="s">
        <v>48</v>
      </c>
      <c r="D713" s="8">
        <v>1942697.25</v>
      </c>
      <c r="F713" t="s">
        <v>92</v>
      </c>
      <c r="G713" t="s">
        <v>1382</v>
      </c>
      <c r="H713" s="10"/>
      <c r="I713" s="10" t="s">
        <v>349</v>
      </c>
      <c r="J713" t="s">
        <v>1399</v>
      </c>
      <c r="L713" t="s">
        <v>1605</v>
      </c>
      <c r="M713" t="s">
        <v>64</v>
      </c>
      <c r="N713" s="11" t="str">
        <f>Base_CRM[[#This Row],[Cidade]]&amp;"/"&amp;Base_CRM[[#This Row],[Estado]]</f>
        <v>São Paulo/SP</v>
      </c>
      <c r="O713" s="12">
        <f>IFERROR(IF(Base_CRM[[#This Row],[PL Tailor]]&gt;Base_CRM[[#This Row],[PL Declarado]],1,Base_CRM[[#This Row],[PL Tailor]]/Base_CRM[[#This Row],[PL Declarado]]),0)</f>
        <v>1</v>
      </c>
      <c r="P713" s="11" t="str">
        <f>IF(Base_CRM[[#This Row],[Estado Civil]]="","PESSOA JURÍDICA","PESSOA FÍSICA")</f>
        <v>PESSOA JURÍDICA</v>
      </c>
      <c r="Q713" t="str">
        <f>_xlfn.XLOOKUP(Base_CRM[[#This Row],[Cód do Cliente]],'[1]F &amp; O'!$A:$A,'[1]F &amp; O'!$F:$F,_xlfn.XLOOKUP(Base_CRM[[#This Row],[Assessor]],[1]DePara!$A:$A,[1]DePara!$D:$D,"Outros",0,1),0,1)</f>
        <v>Raphael Farias</v>
      </c>
      <c r="R713" s="11" t="str">
        <f>_xlfn.XLOOKUP(Base_CRM[[#This Row],[Cód do Cliente]],'[1]F &amp; O'!$A:$A,'[1]F &amp; O'!D:D,"Sem Finder",0,1)</f>
        <v>Sem Finder</v>
      </c>
      <c r="S713" s="11" t="str">
        <f>_xlfn.XLOOKUP(Base_CRM[[#This Row],[Cód do Cliente]],'[1]F &amp; O'!$A:$A,'[1]F &amp; O'!E:E,"Sem Canal",0,1)</f>
        <v>Sem Canal</v>
      </c>
      <c r="T713" s="11" t="str">
        <f t="shared" si="11"/>
        <v>Cliente XP</v>
      </c>
    </row>
    <row r="714" spans="1:20" x14ac:dyDescent="0.3">
      <c r="A714">
        <v>6023937</v>
      </c>
      <c r="B714" s="8" t="s">
        <v>1606</v>
      </c>
      <c r="C714" s="9" t="s">
        <v>39</v>
      </c>
      <c r="D714" s="8">
        <v>3617406.44</v>
      </c>
      <c r="F714" t="s">
        <v>29</v>
      </c>
      <c r="G714" t="s">
        <v>1607</v>
      </c>
      <c r="H714" s="10"/>
      <c r="I714" s="10" t="s">
        <v>349</v>
      </c>
      <c r="J714" t="s">
        <v>1399</v>
      </c>
      <c r="L714" t="s">
        <v>1608</v>
      </c>
      <c r="N714" s="11" t="str">
        <f>Base_CRM[[#This Row],[Cidade]]&amp;"/"&amp;Base_CRM[[#This Row],[Estado]]</f>
        <v>São Paulo/SP</v>
      </c>
      <c r="O714" s="12">
        <f>IFERROR(IF(Base_CRM[[#This Row],[PL Tailor]]&gt;Base_CRM[[#This Row],[PL Declarado]],1,Base_CRM[[#This Row],[PL Tailor]]/Base_CRM[[#This Row],[PL Declarado]]),0)</f>
        <v>1</v>
      </c>
      <c r="P714" s="11" t="str">
        <f>IF(Base_CRM[[#This Row],[Estado Civil]]="","PESSOA JURÍDICA","PESSOA FÍSICA")</f>
        <v>PESSOA JURÍDICA</v>
      </c>
      <c r="Q714" t="str">
        <f>_xlfn.XLOOKUP(Base_CRM[[#This Row],[Cód do Cliente]],'[1]F &amp; O'!$A:$A,'[1]F &amp; O'!$F:$F,_xlfn.XLOOKUP(Base_CRM[[#This Row],[Assessor]],[1]DePara!$A:$A,[1]DePara!$D:$D,"Outros",0,1),0,1)</f>
        <v>Gestora</v>
      </c>
      <c r="R714" s="11" t="str">
        <f>_xlfn.XLOOKUP(Base_CRM[[#This Row],[Cód do Cliente]],'[1]F &amp; O'!$A:$A,'[1]F &amp; O'!D:D,"Sem Finder",0,1)</f>
        <v>Sem Finder</v>
      </c>
      <c r="S714" s="11" t="str">
        <f>_xlfn.XLOOKUP(Base_CRM[[#This Row],[Cód do Cliente]],'[1]F &amp; O'!$A:$A,'[1]F &amp; O'!E:E,"Sem Canal",0,1)</f>
        <v>Gestora</v>
      </c>
      <c r="T714" s="11" t="str">
        <f t="shared" si="11"/>
        <v>Cliente XP</v>
      </c>
    </row>
    <row r="715" spans="1:20" x14ac:dyDescent="0.3">
      <c r="A715">
        <v>15142566</v>
      </c>
      <c r="B715" s="8" t="s">
        <v>1609</v>
      </c>
      <c r="C715" s="9" t="s">
        <v>74</v>
      </c>
      <c r="D715" s="8">
        <v>0.21</v>
      </c>
      <c r="F715" t="s">
        <v>40</v>
      </c>
      <c r="G715" t="s">
        <v>1610</v>
      </c>
      <c r="H715" s="10"/>
      <c r="I715" s="10" t="s">
        <v>1611</v>
      </c>
      <c r="J715" t="s">
        <v>1387</v>
      </c>
      <c r="L715" t="s">
        <v>1612</v>
      </c>
      <c r="N715" s="11" t="str">
        <f>Base_CRM[[#This Row],[Cidade]]&amp;"/"&amp;Base_CRM[[#This Row],[Estado]]</f>
        <v>TRES RIOS/RJ</v>
      </c>
      <c r="O715" s="12">
        <f>IFERROR(IF(Base_CRM[[#This Row],[PL Tailor]]&gt;Base_CRM[[#This Row],[PL Declarado]],1,Base_CRM[[#This Row],[PL Tailor]]/Base_CRM[[#This Row],[PL Declarado]]),0)</f>
        <v>1</v>
      </c>
      <c r="P715" s="11" t="str">
        <f>IF(Base_CRM[[#This Row],[Estado Civil]]="","PESSOA JURÍDICA","PESSOA FÍSICA")</f>
        <v>PESSOA JURÍDICA</v>
      </c>
      <c r="Q715" t="str">
        <f>_xlfn.XLOOKUP(Base_CRM[[#This Row],[Cód do Cliente]],'[1]F &amp; O'!$A:$A,'[1]F &amp; O'!$F:$F,_xlfn.XLOOKUP(Base_CRM[[#This Row],[Assessor]],[1]DePara!$A:$A,[1]DePara!$D:$D,"Outros",0,1),0,1)</f>
        <v>Thayane Freitas</v>
      </c>
      <c r="R715" s="11" t="str">
        <f>_xlfn.XLOOKUP(Base_CRM[[#This Row],[Cód do Cliente]],'[1]F &amp; O'!$A:$A,'[1]F &amp; O'!D:D,"Sem Finder",0,1)</f>
        <v>Sem Finder</v>
      </c>
      <c r="S715" s="11" t="str">
        <f>_xlfn.XLOOKUP(Base_CRM[[#This Row],[Cód do Cliente]],'[1]F &amp; O'!$A:$A,'[1]F &amp; O'!E:E,"Sem Canal",0,1)</f>
        <v>Sem Canal</v>
      </c>
      <c r="T715" s="11" t="str">
        <f t="shared" si="11"/>
        <v>Cliente XP</v>
      </c>
    </row>
    <row r="716" spans="1:20" x14ac:dyDescent="0.3">
      <c r="A716">
        <v>2330152</v>
      </c>
      <c r="B716" s="8" t="s">
        <v>1613</v>
      </c>
      <c r="C716" s="9" t="s">
        <v>48</v>
      </c>
      <c r="D716" s="8">
        <v>4357026.83</v>
      </c>
      <c r="F716" t="s">
        <v>22</v>
      </c>
      <c r="G716" t="s">
        <v>1382</v>
      </c>
      <c r="H716" s="10"/>
      <c r="I716" s="10" t="s">
        <v>909</v>
      </c>
      <c r="J716" t="s">
        <v>1396</v>
      </c>
      <c r="L716" t="s">
        <v>1614</v>
      </c>
      <c r="M716" t="s">
        <v>64</v>
      </c>
      <c r="N716" s="11" t="str">
        <f>Base_CRM[[#This Row],[Cidade]]&amp;"/"&amp;Base_CRM[[#This Row],[Estado]]</f>
        <v>Curitiba/PR</v>
      </c>
      <c r="O716" s="12">
        <f>IFERROR(IF(Base_CRM[[#This Row],[PL Tailor]]&gt;Base_CRM[[#This Row],[PL Declarado]],1,Base_CRM[[#This Row],[PL Tailor]]/Base_CRM[[#This Row],[PL Declarado]]),0)</f>
        <v>1</v>
      </c>
      <c r="P716" s="11" t="str">
        <f>IF(Base_CRM[[#This Row],[Estado Civil]]="","PESSOA JURÍDICA","PESSOA FÍSICA")</f>
        <v>PESSOA JURÍDICA</v>
      </c>
      <c r="Q716" t="str">
        <f>_xlfn.XLOOKUP(Base_CRM[[#This Row],[Cód do Cliente]],'[1]F &amp; O'!$A:$A,'[1]F &amp; O'!$F:$F,_xlfn.XLOOKUP(Base_CRM[[#This Row],[Assessor]],[1]DePara!$A:$A,[1]DePara!$D:$D,"Outros",0,1),0,1)</f>
        <v>Raphael Farias</v>
      </c>
      <c r="R716" s="11" t="str">
        <f>_xlfn.XLOOKUP(Base_CRM[[#This Row],[Cód do Cliente]],'[1]F &amp; O'!$A:$A,'[1]F &amp; O'!D:D,"Sem Finder",0,1)</f>
        <v>Sem Finder</v>
      </c>
      <c r="S716" s="11" t="str">
        <f>_xlfn.XLOOKUP(Base_CRM[[#This Row],[Cód do Cliente]],'[1]F &amp; O'!$A:$A,'[1]F &amp; O'!E:E,"Sem Canal",0,1)</f>
        <v>Sem Canal</v>
      </c>
      <c r="T716" s="11" t="str">
        <f t="shared" si="11"/>
        <v>Cliente XP</v>
      </c>
    </row>
    <row r="717" spans="1:20" x14ac:dyDescent="0.3">
      <c r="A717">
        <v>4133341</v>
      </c>
      <c r="B717" s="8" t="s">
        <v>1615</v>
      </c>
      <c r="C717" s="9" t="s">
        <v>48</v>
      </c>
      <c r="D717" s="8">
        <v>248534.83</v>
      </c>
      <c r="F717" t="s">
        <v>22</v>
      </c>
      <c r="G717" t="s">
        <v>1475</v>
      </c>
      <c r="H717" s="10"/>
      <c r="I717" s="10" t="s">
        <v>639</v>
      </c>
      <c r="J717" t="s">
        <v>1399</v>
      </c>
      <c r="L717" t="s">
        <v>1616</v>
      </c>
      <c r="N717" s="11" t="str">
        <f>Base_CRM[[#This Row],[Cidade]]&amp;"/"&amp;Base_CRM[[#This Row],[Estado]]</f>
        <v>CAMPINAS/SP</v>
      </c>
      <c r="O717" s="12">
        <f>IFERROR(IF(Base_CRM[[#This Row],[PL Tailor]]&gt;Base_CRM[[#This Row],[PL Declarado]],1,Base_CRM[[#This Row],[PL Tailor]]/Base_CRM[[#This Row],[PL Declarado]]),0)</f>
        <v>1</v>
      </c>
      <c r="P717" s="11" t="str">
        <f>IF(Base_CRM[[#This Row],[Estado Civil]]="","PESSOA JURÍDICA","PESSOA FÍSICA")</f>
        <v>PESSOA JURÍDICA</v>
      </c>
      <c r="Q717" t="str">
        <f>_xlfn.XLOOKUP(Base_CRM[[#This Row],[Cód do Cliente]],'[1]F &amp; O'!$A:$A,'[1]F &amp; O'!$F:$F,_xlfn.XLOOKUP(Base_CRM[[#This Row],[Assessor]],[1]DePara!$A:$A,[1]DePara!$D:$D,"Outros",0,1),0,1)</f>
        <v>Raphael Farias</v>
      </c>
      <c r="R717" s="11" t="str">
        <f>_xlfn.XLOOKUP(Base_CRM[[#This Row],[Cód do Cliente]],'[1]F &amp; O'!$A:$A,'[1]F &amp; O'!D:D,"Sem Finder",0,1)</f>
        <v>Sem Finder</v>
      </c>
      <c r="S717" s="11" t="str">
        <f>_xlfn.XLOOKUP(Base_CRM[[#This Row],[Cód do Cliente]],'[1]F &amp; O'!$A:$A,'[1]F &amp; O'!E:E,"Sem Canal",0,1)</f>
        <v>Sem Canal</v>
      </c>
      <c r="T717" s="11" t="str">
        <f t="shared" si="11"/>
        <v>Cliente XP</v>
      </c>
    </row>
    <row r="718" spans="1:20" x14ac:dyDescent="0.3">
      <c r="A718">
        <v>5101269</v>
      </c>
      <c r="B718" s="8" t="s">
        <v>1617</v>
      </c>
      <c r="C718" s="9" t="s">
        <v>48</v>
      </c>
      <c r="D718" s="8">
        <v>0</v>
      </c>
      <c r="F718" t="s">
        <v>22</v>
      </c>
      <c r="G718" t="s">
        <v>1390</v>
      </c>
      <c r="H718" s="10"/>
      <c r="I718" s="10" t="s">
        <v>785</v>
      </c>
      <c r="J718" t="s">
        <v>1399</v>
      </c>
      <c r="L718" t="s">
        <v>1618</v>
      </c>
      <c r="N718" s="11" t="str">
        <f>Base_CRM[[#This Row],[Cidade]]&amp;"/"&amp;Base_CRM[[#This Row],[Estado]]</f>
        <v>SÃO PAULO/SP</v>
      </c>
      <c r="O718" s="12">
        <f>IFERROR(IF(Base_CRM[[#This Row],[PL Tailor]]&gt;Base_CRM[[#This Row],[PL Declarado]],1,Base_CRM[[#This Row],[PL Tailor]]/Base_CRM[[#This Row],[PL Declarado]]),0)</f>
        <v>0</v>
      </c>
      <c r="P718" s="11" t="str">
        <f>IF(Base_CRM[[#This Row],[Estado Civil]]="","PESSOA JURÍDICA","PESSOA FÍSICA")</f>
        <v>PESSOA JURÍDICA</v>
      </c>
      <c r="Q718" t="str">
        <f>_xlfn.XLOOKUP(Base_CRM[[#This Row],[Cód do Cliente]],'[1]F &amp; O'!$A:$A,'[1]F &amp; O'!$F:$F,_xlfn.XLOOKUP(Base_CRM[[#This Row],[Assessor]],[1]DePara!$A:$A,[1]DePara!$D:$D,"Outros",0,1),0,1)</f>
        <v>Raphael Farias</v>
      </c>
      <c r="R718" s="11" t="str">
        <f>_xlfn.XLOOKUP(Base_CRM[[#This Row],[Cód do Cliente]],'[1]F &amp; O'!$A:$A,'[1]F &amp; O'!D:D,"Sem Finder",0,1)</f>
        <v>José De Marchi</v>
      </c>
      <c r="S718" s="11" t="str">
        <f>_xlfn.XLOOKUP(Base_CRM[[#This Row],[Cód do Cliente]],'[1]F &amp; O'!$A:$A,'[1]F &amp; O'!E:E,"Sem Canal",0,1)</f>
        <v>Sem Canal</v>
      </c>
      <c r="T718" s="11" t="str">
        <f t="shared" si="11"/>
        <v>Cliente XP</v>
      </c>
    </row>
    <row r="719" spans="1:20" x14ac:dyDescent="0.3">
      <c r="A719">
        <v>12558983</v>
      </c>
      <c r="B719" s="8" t="s">
        <v>1619</v>
      </c>
      <c r="C719" s="9" t="s">
        <v>74</v>
      </c>
      <c r="D719" s="8">
        <v>1034.79</v>
      </c>
      <c r="F719" t="s">
        <v>29</v>
      </c>
      <c r="G719" t="s">
        <v>1446</v>
      </c>
      <c r="H719" s="10"/>
      <c r="I719" s="10" t="s">
        <v>31</v>
      </c>
      <c r="J719" t="s">
        <v>1399</v>
      </c>
      <c r="L719" t="s">
        <v>1620</v>
      </c>
      <c r="N719" s="11" t="str">
        <f>Base_CRM[[#This Row],[Cidade]]&amp;"/"&amp;Base_CRM[[#This Row],[Estado]]</f>
        <v>SAO PAULO/SP</v>
      </c>
      <c r="O719" s="12">
        <f>IFERROR(IF(Base_CRM[[#This Row],[PL Tailor]]&gt;Base_CRM[[#This Row],[PL Declarado]],1,Base_CRM[[#This Row],[PL Tailor]]/Base_CRM[[#This Row],[PL Declarado]]),0)</f>
        <v>1</v>
      </c>
      <c r="P719" s="11" t="str">
        <f>IF(Base_CRM[[#This Row],[Estado Civil]]="","PESSOA JURÍDICA","PESSOA FÍSICA")</f>
        <v>PESSOA JURÍDICA</v>
      </c>
      <c r="Q719" t="str">
        <f>_xlfn.XLOOKUP(Base_CRM[[#This Row],[Cód do Cliente]],'[1]F &amp; O'!$A:$A,'[1]F &amp; O'!$F:$F,_xlfn.XLOOKUP(Base_CRM[[#This Row],[Assessor]],[1]DePara!$A:$A,[1]DePara!$D:$D,"Outros",0,1),0,1)</f>
        <v>Thayane Freitas</v>
      </c>
      <c r="R719" s="11" t="str">
        <f>_xlfn.XLOOKUP(Base_CRM[[#This Row],[Cód do Cliente]],'[1]F &amp; O'!$A:$A,'[1]F &amp; O'!D:D,"Sem Finder",0,1)</f>
        <v>Sem Finder</v>
      </c>
      <c r="S719" s="11" t="str">
        <f>_xlfn.XLOOKUP(Base_CRM[[#This Row],[Cód do Cliente]],'[1]F &amp; O'!$A:$A,'[1]F &amp; O'!E:E,"Sem Canal",0,1)</f>
        <v>Sem Canal</v>
      </c>
      <c r="T719" s="11" t="str">
        <f t="shared" si="11"/>
        <v>Cliente XP</v>
      </c>
    </row>
    <row r="720" spans="1:20" x14ac:dyDescent="0.3">
      <c r="A720">
        <v>9961497</v>
      </c>
      <c r="B720" s="8" t="s">
        <v>1621</v>
      </c>
      <c r="C720" s="9" t="s">
        <v>21</v>
      </c>
      <c r="D720" s="8">
        <v>724556.87</v>
      </c>
      <c r="F720" t="s">
        <v>29</v>
      </c>
      <c r="G720" t="s">
        <v>1607</v>
      </c>
      <c r="H720" s="10"/>
      <c r="I720" s="10" t="s">
        <v>160</v>
      </c>
      <c r="J720" t="s">
        <v>1399</v>
      </c>
      <c r="L720" t="s">
        <v>1622</v>
      </c>
      <c r="N720" s="11" t="str">
        <f>Base_CRM[[#This Row],[Cidade]]&amp;"/"&amp;Base_CRM[[#This Row],[Estado]]</f>
        <v>GUARULHOS/SP</v>
      </c>
      <c r="O720" s="12">
        <f>IFERROR(IF(Base_CRM[[#This Row],[PL Tailor]]&gt;Base_CRM[[#This Row],[PL Declarado]],1,Base_CRM[[#This Row],[PL Tailor]]/Base_CRM[[#This Row],[PL Declarado]]),0)</f>
        <v>1</v>
      </c>
      <c r="P720" s="11" t="str">
        <f>IF(Base_CRM[[#This Row],[Estado Civil]]="","PESSOA JURÍDICA","PESSOA FÍSICA")</f>
        <v>PESSOA JURÍDICA</v>
      </c>
      <c r="Q720" t="str">
        <f>_xlfn.XLOOKUP(Base_CRM[[#This Row],[Cód do Cliente]],'[1]F &amp; O'!$A:$A,'[1]F &amp; O'!$F:$F,_xlfn.XLOOKUP(Base_CRM[[#This Row],[Assessor]],[1]DePara!$A:$A,[1]DePara!$D:$D,"Outros",0,1),0,1)</f>
        <v>Leonardo Burle</v>
      </c>
      <c r="R720" s="11" t="str">
        <f>_xlfn.XLOOKUP(Base_CRM[[#This Row],[Cód do Cliente]],'[1]F &amp; O'!$A:$A,'[1]F &amp; O'!D:D,"Sem Finder",0,1)</f>
        <v>Sem Finder</v>
      </c>
      <c r="S720" s="11" t="str">
        <f>_xlfn.XLOOKUP(Base_CRM[[#This Row],[Cód do Cliente]],'[1]F &amp; O'!$A:$A,'[1]F &amp; O'!E:E,"Sem Canal",0,1)</f>
        <v>Sem Canal</v>
      </c>
      <c r="T720" s="11" t="str">
        <f t="shared" si="11"/>
        <v>Cliente XP</v>
      </c>
    </row>
    <row r="721" spans="1:20" x14ac:dyDescent="0.3">
      <c r="A721">
        <v>15052481</v>
      </c>
      <c r="B721" s="8" t="s">
        <v>1623</v>
      </c>
      <c r="C721" s="9" t="s">
        <v>48</v>
      </c>
      <c r="D721" s="8">
        <v>0</v>
      </c>
      <c r="F721" t="s">
        <v>22</v>
      </c>
      <c r="G721" t="s">
        <v>1428</v>
      </c>
      <c r="H721" s="10"/>
      <c r="I721" s="10" t="s">
        <v>566</v>
      </c>
      <c r="J721" t="s">
        <v>1624</v>
      </c>
      <c r="L721" t="s">
        <v>1625</v>
      </c>
      <c r="N721" s="11" t="str">
        <f>Base_CRM[[#This Row],[Cidade]]&amp;"/"&amp;Base_CRM[[#This Row],[Estado]]</f>
        <v>VITORIA/ES</v>
      </c>
      <c r="O721" s="12">
        <f>IFERROR(IF(Base_CRM[[#This Row],[PL Tailor]]&gt;Base_CRM[[#This Row],[PL Declarado]],1,Base_CRM[[#This Row],[PL Tailor]]/Base_CRM[[#This Row],[PL Declarado]]),0)</f>
        <v>0</v>
      </c>
      <c r="P721" s="11" t="str">
        <f>IF(Base_CRM[[#This Row],[Estado Civil]]="","PESSOA JURÍDICA","PESSOA FÍSICA")</f>
        <v>PESSOA JURÍDICA</v>
      </c>
      <c r="Q721" t="str">
        <f>_xlfn.XLOOKUP(Base_CRM[[#This Row],[Cód do Cliente]],'[1]F &amp; O'!$A:$A,'[1]F &amp; O'!$F:$F,_xlfn.XLOOKUP(Base_CRM[[#This Row],[Assessor]],[1]DePara!$A:$A,[1]DePara!$D:$D,"Outros",0,1),0,1)</f>
        <v>Raphael Farias</v>
      </c>
      <c r="R721" s="11" t="str">
        <f>_xlfn.XLOOKUP(Base_CRM[[#This Row],[Cód do Cliente]],'[1]F &amp; O'!$A:$A,'[1]F &amp; O'!D:D,"Sem Finder",0,1)</f>
        <v>Sem Finder</v>
      </c>
      <c r="S721" s="11" t="str">
        <f>_xlfn.XLOOKUP(Base_CRM[[#This Row],[Cód do Cliente]],'[1]F &amp; O'!$A:$A,'[1]F &amp; O'!E:E,"Sem Canal",0,1)</f>
        <v>Sem Canal</v>
      </c>
      <c r="T721" s="11" t="str">
        <f t="shared" si="11"/>
        <v>Cliente XP</v>
      </c>
    </row>
    <row r="722" spans="1:20" x14ac:dyDescent="0.3">
      <c r="A722">
        <v>17188146</v>
      </c>
      <c r="B722" s="8" t="s">
        <v>1626</v>
      </c>
      <c r="C722" s="9" t="s">
        <v>21</v>
      </c>
      <c r="D722" s="8">
        <v>0</v>
      </c>
      <c r="G722" t="s">
        <v>1386</v>
      </c>
      <c r="H722" s="10"/>
      <c r="I722" s="10" t="s">
        <v>41</v>
      </c>
      <c r="J722" t="s">
        <v>1399</v>
      </c>
      <c r="L722" t="s">
        <v>1627</v>
      </c>
      <c r="N722" s="11" t="str">
        <f>Base_CRM[[#This Row],[Cidade]]&amp;"/"&amp;Base_CRM[[#This Row],[Estado]]</f>
        <v>OSASCO/SP</v>
      </c>
      <c r="O722" s="12">
        <f>IFERROR(IF(Base_CRM[[#This Row],[PL Tailor]]&gt;Base_CRM[[#This Row],[PL Declarado]],1,Base_CRM[[#This Row],[PL Tailor]]/Base_CRM[[#This Row],[PL Declarado]]),0)</f>
        <v>0</v>
      </c>
      <c r="P722" s="11" t="str">
        <f>IF(Base_CRM[[#This Row],[Estado Civil]]="","PESSOA JURÍDICA","PESSOA FÍSICA")</f>
        <v>PESSOA JURÍDICA</v>
      </c>
      <c r="Q722" t="str">
        <f>_xlfn.XLOOKUP(Base_CRM[[#This Row],[Cód do Cliente]],'[1]F &amp; O'!$A:$A,'[1]F &amp; O'!$F:$F,_xlfn.XLOOKUP(Base_CRM[[#This Row],[Assessor]],[1]DePara!$A:$A,[1]DePara!$D:$D,"Outros",0,1),0,1)</f>
        <v>Leonardo Burle</v>
      </c>
      <c r="R722" s="11" t="str">
        <f>_xlfn.XLOOKUP(Base_CRM[[#This Row],[Cód do Cliente]],'[1]F &amp; O'!$A:$A,'[1]F &amp; O'!D:D,"Sem Finder",0,1)</f>
        <v>Sem Finder</v>
      </c>
      <c r="S722" s="11" t="str">
        <f>_xlfn.XLOOKUP(Base_CRM[[#This Row],[Cód do Cliente]],'[1]F &amp; O'!$A:$A,'[1]F &amp; O'!E:E,"Sem Canal",0,1)</f>
        <v>Sem Canal</v>
      </c>
      <c r="T722" s="11" t="str">
        <f t="shared" si="11"/>
        <v>Cliente XP</v>
      </c>
    </row>
    <row r="723" spans="1:20" x14ac:dyDescent="0.3">
      <c r="A723">
        <v>11258144</v>
      </c>
      <c r="B723" s="8" t="s">
        <v>1628</v>
      </c>
      <c r="C723" s="9" t="s">
        <v>21</v>
      </c>
      <c r="D723" s="8">
        <v>0</v>
      </c>
      <c r="F723" t="s">
        <v>29</v>
      </c>
      <c r="G723" t="s">
        <v>1629</v>
      </c>
      <c r="H723" s="10"/>
      <c r="I723" s="10" t="s">
        <v>24</v>
      </c>
      <c r="J723" t="s">
        <v>1387</v>
      </c>
      <c r="L723" t="s">
        <v>1630</v>
      </c>
      <c r="N723" s="11" t="str">
        <f>Base_CRM[[#This Row],[Cidade]]&amp;"/"&amp;Base_CRM[[#This Row],[Estado]]</f>
        <v>RIO DE JANEIRO/RJ</v>
      </c>
      <c r="O723" s="12">
        <f>IFERROR(IF(Base_CRM[[#This Row],[PL Tailor]]&gt;Base_CRM[[#This Row],[PL Declarado]],1,Base_CRM[[#This Row],[PL Tailor]]/Base_CRM[[#This Row],[PL Declarado]]),0)</f>
        <v>0</v>
      </c>
      <c r="P723" s="11" t="str">
        <f>IF(Base_CRM[[#This Row],[Estado Civil]]="","PESSOA JURÍDICA","PESSOA FÍSICA")</f>
        <v>PESSOA JURÍDICA</v>
      </c>
      <c r="Q723" t="str">
        <f>_xlfn.XLOOKUP(Base_CRM[[#This Row],[Cód do Cliente]],'[1]F &amp; O'!$A:$A,'[1]F &amp; O'!$F:$F,_xlfn.XLOOKUP(Base_CRM[[#This Row],[Assessor]],[1]DePara!$A:$A,[1]DePara!$D:$D,"Outros",0,1),0,1)</f>
        <v>Leonardo Burle</v>
      </c>
      <c r="R723" s="11" t="str">
        <f>_xlfn.XLOOKUP(Base_CRM[[#This Row],[Cód do Cliente]],'[1]F &amp; O'!$A:$A,'[1]F &amp; O'!D:D,"Sem Finder",0,1)</f>
        <v>Sem Finder</v>
      </c>
      <c r="S723" s="11" t="str">
        <f>_xlfn.XLOOKUP(Base_CRM[[#This Row],[Cód do Cliente]],'[1]F &amp; O'!$A:$A,'[1]F &amp; O'!E:E,"Sem Canal",0,1)</f>
        <v>Sem Canal</v>
      </c>
      <c r="T723" s="11" t="str">
        <f t="shared" si="11"/>
        <v>Cliente XP</v>
      </c>
    </row>
    <row r="724" spans="1:20" x14ac:dyDescent="0.3">
      <c r="A724">
        <v>13255155</v>
      </c>
      <c r="B724" s="8" t="s">
        <v>1631</v>
      </c>
      <c r="C724" s="9" t="s">
        <v>39</v>
      </c>
      <c r="D724" s="8">
        <v>151869.04999999999</v>
      </c>
      <c r="F724" t="s">
        <v>40</v>
      </c>
      <c r="G724" t="s">
        <v>1390</v>
      </c>
      <c r="H724" s="10"/>
      <c r="I724" s="10" t="s">
        <v>1632</v>
      </c>
      <c r="J724" t="s">
        <v>1633</v>
      </c>
      <c r="L724" t="s">
        <v>1634</v>
      </c>
      <c r="N724" s="11" t="str">
        <f>Base_CRM[[#This Row],[Cidade]]&amp;"/"&amp;Base_CRM[[#This Row],[Estado]]</f>
        <v>RIO QUENTE/GO</v>
      </c>
      <c r="O724" s="12">
        <f>IFERROR(IF(Base_CRM[[#This Row],[PL Tailor]]&gt;Base_CRM[[#This Row],[PL Declarado]],1,Base_CRM[[#This Row],[PL Tailor]]/Base_CRM[[#This Row],[PL Declarado]]),0)</f>
        <v>1</v>
      </c>
      <c r="P724" s="11" t="str">
        <f>IF(Base_CRM[[#This Row],[Estado Civil]]="","PESSOA JURÍDICA","PESSOA FÍSICA")</f>
        <v>PESSOA JURÍDICA</v>
      </c>
      <c r="Q724" t="str">
        <f>_xlfn.XLOOKUP(Base_CRM[[#This Row],[Cód do Cliente]],'[1]F &amp; O'!$A:$A,'[1]F &amp; O'!$F:$F,_xlfn.XLOOKUP(Base_CRM[[#This Row],[Assessor]],[1]DePara!$A:$A,[1]DePara!$D:$D,"Outros",0,1),0,1)</f>
        <v>Gestora</v>
      </c>
      <c r="R724" s="11" t="str">
        <f>_xlfn.XLOOKUP(Base_CRM[[#This Row],[Cód do Cliente]],'[1]F &amp; O'!$A:$A,'[1]F &amp; O'!D:D,"Sem Finder",0,1)</f>
        <v>Pedro Chagas</v>
      </c>
      <c r="S724" s="11" t="str">
        <f>_xlfn.XLOOKUP(Base_CRM[[#This Row],[Cód do Cliente]],'[1]F &amp; O'!$A:$A,'[1]F &amp; O'!E:E,"Sem Canal",0,1)</f>
        <v>Gestora</v>
      </c>
      <c r="T724" s="11" t="str">
        <f t="shared" si="11"/>
        <v>Cliente XP</v>
      </c>
    </row>
    <row r="725" spans="1:20" x14ac:dyDescent="0.3">
      <c r="A725">
        <v>15159378</v>
      </c>
      <c r="B725" s="8" t="s">
        <v>1635</v>
      </c>
      <c r="C725" s="9" t="s">
        <v>74</v>
      </c>
      <c r="D725" s="8">
        <v>0</v>
      </c>
      <c r="F725" t="s">
        <v>40</v>
      </c>
      <c r="G725" t="s">
        <v>1382</v>
      </c>
      <c r="H725" s="10"/>
      <c r="I725" s="10" t="s">
        <v>229</v>
      </c>
      <c r="J725" t="s">
        <v>1396</v>
      </c>
      <c r="L725" t="s">
        <v>1636</v>
      </c>
      <c r="N725" s="11" t="str">
        <f>Base_CRM[[#This Row],[Cidade]]&amp;"/"&amp;Base_CRM[[#This Row],[Estado]]</f>
        <v>CURITIBA/PR</v>
      </c>
      <c r="O725" s="12">
        <f>IFERROR(IF(Base_CRM[[#This Row],[PL Tailor]]&gt;Base_CRM[[#This Row],[PL Declarado]],1,Base_CRM[[#This Row],[PL Tailor]]/Base_CRM[[#This Row],[PL Declarado]]),0)</f>
        <v>0</v>
      </c>
      <c r="P725" s="11" t="str">
        <f>IF(Base_CRM[[#This Row],[Estado Civil]]="","PESSOA JURÍDICA","PESSOA FÍSICA")</f>
        <v>PESSOA JURÍDICA</v>
      </c>
      <c r="Q725" t="str">
        <f>_xlfn.XLOOKUP(Base_CRM[[#This Row],[Cód do Cliente]],'[1]F &amp; O'!$A:$A,'[1]F &amp; O'!$F:$F,_xlfn.XLOOKUP(Base_CRM[[#This Row],[Assessor]],[1]DePara!$A:$A,[1]DePara!$D:$D,"Outros",0,1),0,1)</f>
        <v>Thayane Freitas</v>
      </c>
      <c r="R725" s="11" t="str">
        <f>_xlfn.XLOOKUP(Base_CRM[[#This Row],[Cód do Cliente]],'[1]F &amp; O'!$A:$A,'[1]F &amp; O'!D:D,"Sem Finder",0,1)</f>
        <v>Sem Finder</v>
      </c>
      <c r="S725" s="11" t="str">
        <f>_xlfn.XLOOKUP(Base_CRM[[#This Row],[Cód do Cliente]],'[1]F &amp; O'!$A:$A,'[1]F &amp; O'!E:E,"Sem Canal",0,1)</f>
        <v>Sem Canal</v>
      </c>
      <c r="T725" s="11" t="str">
        <f t="shared" si="11"/>
        <v>Cliente XP</v>
      </c>
    </row>
    <row r="726" spans="1:20" x14ac:dyDescent="0.3">
      <c r="A726">
        <v>15099371</v>
      </c>
      <c r="B726" s="8" t="s">
        <v>1637</v>
      </c>
      <c r="C726" s="9" t="s">
        <v>103</v>
      </c>
      <c r="D726" s="8">
        <v>35984.800000000003</v>
      </c>
      <c r="F726" t="s">
        <v>29</v>
      </c>
      <c r="G726" t="s">
        <v>1390</v>
      </c>
      <c r="H726" s="10"/>
      <c r="I726" s="10" t="s">
        <v>24</v>
      </c>
      <c r="J726" t="s">
        <v>1387</v>
      </c>
      <c r="L726" t="s">
        <v>1638</v>
      </c>
      <c r="N726" s="11" t="str">
        <f>Base_CRM[[#This Row],[Cidade]]&amp;"/"&amp;Base_CRM[[#This Row],[Estado]]</f>
        <v>RIO DE JANEIRO/RJ</v>
      </c>
      <c r="O726" s="12">
        <f>IFERROR(IF(Base_CRM[[#This Row],[PL Tailor]]&gt;Base_CRM[[#This Row],[PL Declarado]],1,Base_CRM[[#This Row],[PL Tailor]]/Base_CRM[[#This Row],[PL Declarado]]),0)</f>
        <v>1</v>
      </c>
      <c r="P726" s="11" t="str">
        <f>IF(Base_CRM[[#This Row],[Estado Civil]]="","PESSOA JURÍDICA","PESSOA FÍSICA")</f>
        <v>PESSOA JURÍDICA</v>
      </c>
      <c r="Q726" t="str">
        <f>_xlfn.XLOOKUP(Base_CRM[[#This Row],[Cód do Cliente]],'[1]F &amp; O'!$A:$A,'[1]F &amp; O'!$F:$F,_xlfn.XLOOKUP(Base_CRM[[#This Row],[Assessor]],[1]DePara!$A:$A,[1]DePara!$D:$D,"Outros",0,1),0,1)</f>
        <v>Raphael Pereira</v>
      </c>
      <c r="R726" s="11" t="str">
        <f>_xlfn.XLOOKUP(Base_CRM[[#This Row],[Cód do Cliente]],'[1]F &amp; O'!$A:$A,'[1]F &amp; O'!D:D,"Sem Finder",0,1)</f>
        <v>Sem Finder</v>
      </c>
      <c r="S726" s="11" t="str">
        <f>_xlfn.XLOOKUP(Base_CRM[[#This Row],[Cód do Cliente]],'[1]F &amp; O'!$A:$A,'[1]F &amp; O'!E:E,"Sem Canal",0,1)</f>
        <v>Sem Canal</v>
      </c>
      <c r="T726" s="11" t="str">
        <f t="shared" si="11"/>
        <v>Cliente XP</v>
      </c>
    </row>
    <row r="727" spans="1:20" x14ac:dyDescent="0.3">
      <c r="A727">
        <v>17918865</v>
      </c>
      <c r="B727" s="8" t="s">
        <v>1639</v>
      </c>
      <c r="C727" s="9" t="s">
        <v>103</v>
      </c>
      <c r="D727" s="8">
        <v>11922890.35</v>
      </c>
      <c r="F727" t="s">
        <v>29</v>
      </c>
      <c r="G727" t="s">
        <v>1382</v>
      </c>
      <c r="H727" s="10"/>
      <c r="I727" s="10" t="s">
        <v>31</v>
      </c>
      <c r="J727" t="s">
        <v>1399</v>
      </c>
      <c r="L727" t="s">
        <v>1640</v>
      </c>
      <c r="N727" s="11" t="str">
        <f>Base_CRM[[#This Row],[Cidade]]&amp;"/"&amp;Base_CRM[[#This Row],[Estado]]</f>
        <v>SAO PAULO/SP</v>
      </c>
      <c r="O727" s="12">
        <f>IFERROR(IF(Base_CRM[[#This Row],[PL Tailor]]&gt;Base_CRM[[#This Row],[PL Declarado]],1,Base_CRM[[#This Row],[PL Tailor]]/Base_CRM[[#This Row],[PL Declarado]]),0)</f>
        <v>1</v>
      </c>
      <c r="P727" s="11" t="str">
        <f>IF(Base_CRM[[#This Row],[Estado Civil]]="","PESSOA JURÍDICA","PESSOA FÍSICA")</f>
        <v>PESSOA JURÍDICA</v>
      </c>
      <c r="Q727" t="str">
        <f>_xlfn.XLOOKUP(Base_CRM[[#This Row],[Cód do Cliente]],'[1]F &amp; O'!$A:$A,'[1]F &amp; O'!$F:$F,_xlfn.XLOOKUP(Base_CRM[[#This Row],[Assessor]],[1]DePara!$A:$A,[1]DePara!$D:$D,"Outros",0,1),0,1)</f>
        <v>Raphael Pereira</v>
      </c>
      <c r="R727" s="11" t="str">
        <f>_xlfn.XLOOKUP(Base_CRM[[#This Row],[Cód do Cliente]],'[1]F &amp; O'!$A:$A,'[1]F &amp; O'!D:D,"Sem Finder",0,1)</f>
        <v>Gustavo Faria</v>
      </c>
      <c r="S727" s="11" t="str">
        <f>_xlfn.XLOOKUP(Base_CRM[[#This Row],[Cód do Cliente]],'[1]F &amp; O'!$A:$A,'[1]F &amp; O'!E:E,"Sem Canal",0,1)</f>
        <v>Sem Canal</v>
      </c>
      <c r="T727" s="11" t="str">
        <f t="shared" si="11"/>
        <v>Cliente XP</v>
      </c>
    </row>
    <row r="728" spans="1:20" x14ac:dyDescent="0.3">
      <c r="A728">
        <v>15302148</v>
      </c>
      <c r="B728" s="8" t="s">
        <v>1641</v>
      </c>
      <c r="C728" s="9" t="s">
        <v>48</v>
      </c>
      <c r="D728" s="8">
        <v>0</v>
      </c>
      <c r="F728" t="s">
        <v>40</v>
      </c>
      <c r="G728" t="s">
        <v>1428</v>
      </c>
      <c r="H728" s="10"/>
      <c r="I728" s="10" t="s">
        <v>1642</v>
      </c>
      <c r="J728" t="s">
        <v>1643</v>
      </c>
      <c r="L728" t="s">
        <v>1644</v>
      </c>
      <c r="N728" s="11" t="str">
        <f>Base_CRM[[#This Row],[Cidade]]&amp;"/"&amp;Base_CRM[[#This Row],[Estado]]</f>
        <v>JARAGUA DO SUL/SC</v>
      </c>
      <c r="O728" s="12">
        <f>IFERROR(IF(Base_CRM[[#This Row],[PL Tailor]]&gt;Base_CRM[[#This Row],[PL Declarado]],1,Base_CRM[[#This Row],[PL Tailor]]/Base_CRM[[#This Row],[PL Declarado]]),0)</f>
        <v>0</v>
      </c>
      <c r="P728" s="11" t="str">
        <f>IF(Base_CRM[[#This Row],[Estado Civil]]="","PESSOA JURÍDICA","PESSOA FÍSICA")</f>
        <v>PESSOA JURÍDICA</v>
      </c>
      <c r="Q728" t="str">
        <f>_xlfn.XLOOKUP(Base_CRM[[#This Row],[Cód do Cliente]],'[1]F &amp; O'!$A:$A,'[1]F &amp; O'!$F:$F,_xlfn.XLOOKUP(Base_CRM[[#This Row],[Assessor]],[1]DePara!$A:$A,[1]DePara!$D:$D,"Outros",0,1),0,1)</f>
        <v>Raphael Farias</v>
      </c>
      <c r="R728" s="11" t="str">
        <f>_xlfn.XLOOKUP(Base_CRM[[#This Row],[Cód do Cliente]],'[1]F &amp; O'!$A:$A,'[1]F &amp; O'!D:D,"Sem Finder",0,1)</f>
        <v>Sem Finder</v>
      </c>
      <c r="S728" s="11" t="str">
        <f>_xlfn.XLOOKUP(Base_CRM[[#This Row],[Cód do Cliente]],'[1]F &amp; O'!$A:$A,'[1]F &amp; O'!E:E,"Sem Canal",0,1)</f>
        <v>Sem Canal</v>
      </c>
      <c r="T728" s="11" t="str">
        <f t="shared" si="11"/>
        <v>Cliente XP</v>
      </c>
    </row>
    <row r="729" spans="1:20" x14ac:dyDescent="0.3">
      <c r="A729">
        <v>16776071</v>
      </c>
      <c r="B729" s="8" t="s">
        <v>1645</v>
      </c>
      <c r="C729" s="9" t="s">
        <v>34</v>
      </c>
      <c r="D729" s="8">
        <v>341786.62</v>
      </c>
      <c r="F729" t="s">
        <v>29</v>
      </c>
      <c r="G729" t="s">
        <v>1428</v>
      </c>
      <c r="H729" s="10"/>
      <c r="I729" s="10" t="s">
        <v>31</v>
      </c>
      <c r="J729" t="s">
        <v>1399</v>
      </c>
      <c r="L729" t="s">
        <v>1646</v>
      </c>
      <c r="N729" s="11" t="str">
        <f>Base_CRM[[#This Row],[Cidade]]&amp;"/"&amp;Base_CRM[[#This Row],[Estado]]</f>
        <v>SAO PAULO/SP</v>
      </c>
      <c r="O729" s="12">
        <f>IFERROR(IF(Base_CRM[[#This Row],[PL Tailor]]&gt;Base_CRM[[#This Row],[PL Declarado]],1,Base_CRM[[#This Row],[PL Tailor]]/Base_CRM[[#This Row],[PL Declarado]]),0)</f>
        <v>1</v>
      </c>
      <c r="P729" s="11" t="str">
        <f>IF(Base_CRM[[#This Row],[Estado Civil]]="","PESSOA JURÍDICA","PESSOA FÍSICA")</f>
        <v>PESSOA JURÍDICA</v>
      </c>
      <c r="Q729" t="str">
        <f>_xlfn.XLOOKUP(Base_CRM[[#This Row],[Cód do Cliente]],'[1]F &amp; O'!$A:$A,'[1]F &amp; O'!$F:$F,_xlfn.XLOOKUP(Base_CRM[[#This Row],[Assessor]],[1]DePara!$A:$A,[1]DePara!$D:$D,"Outros",0,1),0,1)</f>
        <v>Adonias Noronha</v>
      </c>
      <c r="R729" s="11" t="str">
        <f>_xlfn.XLOOKUP(Base_CRM[[#This Row],[Cód do Cliente]],'[1]F &amp; O'!$A:$A,'[1]F &amp; O'!D:D,"Sem Finder",0,1)</f>
        <v>Sem Finder</v>
      </c>
      <c r="S729" s="11" t="str">
        <f>_xlfn.XLOOKUP(Base_CRM[[#This Row],[Cód do Cliente]],'[1]F &amp; O'!$A:$A,'[1]F &amp; O'!E:E,"Sem Canal",0,1)</f>
        <v>Sem Canal</v>
      </c>
      <c r="T729" s="11" t="str">
        <f t="shared" si="11"/>
        <v>Cliente XP</v>
      </c>
    </row>
    <row r="730" spans="1:20" x14ac:dyDescent="0.3">
      <c r="A730">
        <v>15959299</v>
      </c>
      <c r="B730" s="8" t="s">
        <v>1647</v>
      </c>
      <c r="C730" s="9" t="s">
        <v>103</v>
      </c>
      <c r="D730" s="8">
        <v>0</v>
      </c>
      <c r="F730" t="s">
        <v>40</v>
      </c>
      <c r="G730" t="s">
        <v>1446</v>
      </c>
      <c r="H730" s="10"/>
      <c r="I730" s="10" t="s">
        <v>232</v>
      </c>
      <c r="J730" t="s">
        <v>1387</v>
      </c>
      <c r="L730" t="s">
        <v>1648</v>
      </c>
      <c r="N730" s="11" t="str">
        <f>Base_CRM[[#This Row],[Cidade]]&amp;"/"&amp;Base_CRM[[#This Row],[Estado]]</f>
        <v>DUQUE DE CAXIAS/RJ</v>
      </c>
      <c r="O730" s="12">
        <f>IFERROR(IF(Base_CRM[[#This Row],[PL Tailor]]&gt;Base_CRM[[#This Row],[PL Declarado]],1,Base_CRM[[#This Row],[PL Tailor]]/Base_CRM[[#This Row],[PL Declarado]]),0)</f>
        <v>0</v>
      </c>
      <c r="P730" s="11" t="str">
        <f>IF(Base_CRM[[#This Row],[Estado Civil]]="","PESSOA JURÍDICA","PESSOA FÍSICA")</f>
        <v>PESSOA JURÍDICA</v>
      </c>
      <c r="Q730" t="str">
        <f>_xlfn.XLOOKUP(Base_CRM[[#This Row],[Cód do Cliente]],'[1]F &amp; O'!$A:$A,'[1]F &amp; O'!$F:$F,_xlfn.XLOOKUP(Base_CRM[[#This Row],[Assessor]],[1]DePara!$A:$A,[1]DePara!$D:$D,"Outros",0,1),0,1)</f>
        <v>Raphael Pereira</v>
      </c>
      <c r="R730" s="11" t="str">
        <f>_xlfn.XLOOKUP(Base_CRM[[#This Row],[Cód do Cliente]],'[1]F &amp; O'!$A:$A,'[1]F &amp; O'!D:D,"Sem Finder",0,1)</f>
        <v>Sem Finder</v>
      </c>
      <c r="S730" s="11" t="str">
        <f>_xlfn.XLOOKUP(Base_CRM[[#This Row],[Cód do Cliente]],'[1]F &amp; O'!$A:$A,'[1]F &amp; O'!E:E,"Sem Canal",0,1)</f>
        <v>Sem Canal</v>
      </c>
      <c r="T730" s="11" t="str">
        <f t="shared" si="11"/>
        <v>Cliente XP</v>
      </c>
    </row>
    <row r="731" spans="1:20" x14ac:dyDescent="0.3">
      <c r="A731">
        <v>15654727</v>
      </c>
      <c r="B731" s="8" t="s">
        <v>1649</v>
      </c>
      <c r="C731" s="9" t="s">
        <v>39</v>
      </c>
      <c r="D731" s="8">
        <v>170.88</v>
      </c>
      <c r="F731" t="s">
        <v>22</v>
      </c>
      <c r="G731" t="s">
        <v>1435</v>
      </c>
      <c r="H731" s="10"/>
      <c r="I731" s="10" t="s">
        <v>1650</v>
      </c>
      <c r="J731" t="s">
        <v>1399</v>
      </c>
      <c r="L731" t="s">
        <v>1651</v>
      </c>
      <c r="N731" s="11" t="str">
        <f>Base_CRM[[#This Row],[Cidade]]&amp;"/"&amp;Base_CRM[[#This Row],[Estado]]</f>
        <v>Santa Bárbara D'Oeste/SP</v>
      </c>
      <c r="O731" s="12">
        <f>IFERROR(IF(Base_CRM[[#This Row],[PL Tailor]]&gt;Base_CRM[[#This Row],[PL Declarado]],1,Base_CRM[[#This Row],[PL Tailor]]/Base_CRM[[#This Row],[PL Declarado]]),0)</f>
        <v>1</v>
      </c>
      <c r="P731" s="11" t="str">
        <f>IF(Base_CRM[[#This Row],[Estado Civil]]="","PESSOA JURÍDICA","PESSOA FÍSICA")</f>
        <v>PESSOA JURÍDICA</v>
      </c>
      <c r="Q731" t="str">
        <f>_xlfn.XLOOKUP(Base_CRM[[#This Row],[Cód do Cliente]],'[1]F &amp; O'!$A:$A,'[1]F &amp; O'!$F:$F,_xlfn.XLOOKUP(Base_CRM[[#This Row],[Assessor]],[1]DePara!$A:$A,[1]DePara!$D:$D,"Outros",0,1),0,1)</f>
        <v>Thayane Freitas</v>
      </c>
      <c r="R731" s="11" t="str">
        <f>_xlfn.XLOOKUP(Base_CRM[[#This Row],[Cód do Cliente]],'[1]F &amp; O'!$A:$A,'[1]F &amp; O'!D:D,"Sem Finder",0,1)</f>
        <v>Sem Finder</v>
      </c>
      <c r="S731" s="11" t="str">
        <f>_xlfn.XLOOKUP(Base_CRM[[#This Row],[Cód do Cliente]],'[1]F &amp; O'!$A:$A,'[1]F &amp; O'!E:E,"Sem Canal",0,1)</f>
        <v>Sem Canal</v>
      </c>
      <c r="T731" s="11" t="str">
        <f t="shared" si="11"/>
        <v>Cliente XP</v>
      </c>
    </row>
    <row r="732" spans="1:20" x14ac:dyDescent="0.3">
      <c r="A732">
        <v>2142791</v>
      </c>
      <c r="B732" s="8" t="s">
        <v>1652</v>
      </c>
      <c r="C732" s="9" t="s">
        <v>39</v>
      </c>
      <c r="D732" s="8">
        <v>0</v>
      </c>
      <c r="F732" t="s">
        <v>92</v>
      </c>
      <c r="G732" t="s">
        <v>1390</v>
      </c>
      <c r="H732" s="10"/>
      <c r="I732" s="10" t="s">
        <v>115</v>
      </c>
      <c r="J732" t="s">
        <v>1399</v>
      </c>
      <c r="L732" t="s">
        <v>1653</v>
      </c>
      <c r="N732" s="11" t="str">
        <f>Base_CRM[[#This Row],[Cidade]]&amp;"/"&amp;Base_CRM[[#This Row],[Estado]]</f>
        <v>BARUERI/SP</v>
      </c>
      <c r="O732" s="12">
        <f>IFERROR(IF(Base_CRM[[#This Row],[PL Tailor]]&gt;Base_CRM[[#This Row],[PL Declarado]],1,Base_CRM[[#This Row],[PL Tailor]]/Base_CRM[[#This Row],[PL Declarado]]),0)</f>
        <v>0</v>
      </c>
      <c r="P732" s="11" t="str">
        <f>IF(Base_CRM[[#This Row],[Estado Civil]]="","PESSOA JURÍDICA","PESSOA FÍSICA")</f>
        <v>PESSOA JURÍDICA</v>
      </c>
      <c r="Q732" t="str">
        <f>_xlfn.XLOOKUP(Base_CRM[[#This Row],[Cód do Cliente]],'[1]F &amp; O'!$A:$A,'[1]F &amp; O'!$F:$F,_xlfn.XLOOKUP(Base_CRM[[#This Row],[Assessor]],[1]DePara!$A:$A,[1]DePara!$D:$D,"Outros",0,1),0,1)</f>
        <v>Gestora</v>
      </c>
      <c r="R732" s="11" t="str">
        <f>_xlfn.XLOOKUP(Base_CRM[[#This Row],[Cód do Cliente]],'[1]F &amp; O'!$A:$A,'[1]F &amp; O'!D:D,"Sem Finder",0,1)</f>
        <v>Sem Finder</v>
      </c>
      <c r="S732" s="11" t="str">
        <f>_xlfn.XLOOKUP(Base_CRM[[#This Row],[Cód do Cliente]],'[1]F &amp; O'!$A:$A,'[1]F &amp; O'!E:E,"Sem Canal",0,1)</f>
        <v>Gestora</v>
      </c>
      <c r="T732" s="11" t="str">
        <f t="shared" si="11"/>
        <v>Cliente XP</v>
      </c>
    </row>
    <row r="733" spans="1:20" x14ac:dyDescent="0.3">
      <c r="A733">
        <v>2330181</v>
      </c>
      <c r="B733" s="8" t="s">
        <v>1654</v>
      </c>
      <c r="C733" s="9" t="s">
        <v>39</v>
      </c>
      <c r="D733" s="8">
        <v>16.82</v>
      </c>
      <c r="F733" t="s">
        <v>92</v>
      </c>
      <c r="G733" t="s">
        <v>1390</v>
      </c>
      <c r="H733" s="10"/>
      <c r="I733" s="10" t="s">
        <v>115</v>
      </c>
      <c r="J733" t="s">
        <v>1399</v>
      </c>
      <c r="L733" t="s">
        <v>1655</v>
      </c>
      <c r="N733" s="11" t="str">
        <f>Base_CRM[[#This Row],[Cidade]]&amp;"/"&amp;Base_CRM[[#This Row],[Estado]]</f>
        <v>BARUERI/SP</v>
      </c>
      <c r="O733" s="12">
        <f>IFERROR(IF(Base_CRM[[#This Row],[PL Tailor]]&gt;Base_CRM[[#This Row],[PL Declarado]],1,Base_CRM[[#This Row],[PL Tailor]]/Base_CRM[[#This Row],[PL Declarado]]),0)</f>
        <v>1</v>
      </c>
      <c r="P733" s="11" t="str">
        <f>IF(Base_CRM[[#This Row],[Estado Civil]]="","PESSOA JURÍDICA","PESSOA FÍSICA")</f>
        <v>PESSOA JURÍDICA</v>
      </c>
      <c r="Q733" t="str">
        <f>_xlfn.XLOOKUP(Base_CRM[[#This Row],[Cód do Cliente]],'[1]F &amp; O'!$A:$A,'[1]F &amp; O'!$F:$F,_xlfn.XLOOKUP(Base_CRM[[#This Row],[Assessor]],[1]DePara!$A:$A,[1]DePara!$D:$D,"Outros",0,1),0,1)</f>
        <v>Gestora</v>
      </c>
      <c r="R733" s="11" t="str">
        <f>_xlfn.XLOOKUP(Base_CRM[[#This Row],[Cód do Cliente]],'[1]F &amp; O'!$A:$A,'[1]F &amp; O'!D:D,"Sem Finder",0,1)</f>
        <v>Sem Finder</v>
      </c>
      <c r="S733" s="11" t="str">
        <f>_xlfn.XLOOKUP(Base_CRM[[#This Row],[Cód do Cliente]],'[1]F &amp; O'!$A:$A,'[1]F &amp; O'!E:E,"Sem Canal",0,1)</f>
        <v>Gestora</v>
      </c>
      <c r="T733" s="11" t="str">
        <f t="shared" si="11"/>
        <v>Cliente XP</v>
      </c>
    </row>
    <row r="734" spans="1:20" x14ac:dyDescent="0.3">
      <c r="A734">
        <v>4618572</v>
      </c>
      <c r="B734" s="8" t="s">
        <v>1656</v>
      </c>
      <c r="C734" s="9" t="s">
        <v>66</v>
      </c>
      <c r="D734" s="8">
        <v>0</v>
      </c>
      <c r="F734" t="s">
        <v>92</v>
      </c>
      <c r="G734" t="s">
        <v>1382</v>
      </c>
      <c r="H734" s="10"/>
      <c r="I734" s="10" t="s">
        <v>1657</v>
      </c>
      <c r="J734" t="s">
        <v>1531</v>
      </c>
      <c r="L734" t="s">
        <v>1658</v>
      </c>
      <c r="N734" s="11" t="str">
        <f>Base_CRM[[#This Row],[Cidade]]&amp;"/"&amp;Base_CRM[[#This Row],[Estado]]</f>
        <v>Uberlândia/MG</v>
      </c>
      <c r="O734" s="12">
        <f>IFERROR(IF(Base_CRM[[#This Row],[PL Tailor]]&gt;Base_CRM[[#This Row],[PL Declarado]],1,Base_CRM[[#This Row],[PL Tailor]]/Base_CRM[[#This Row],[PL Declarado]]),0)</f>
        <v>0</v>
      </c>
      <c r="P734" s="11" t="str">
        <f>IF(Base_CRM[[#This Row],[Estado Civil]]="","PESSOA JURÍDICA","PESSOA FÍSICA")</f>
        <v>PESSOA JURÍDICA</v>
      </c>
      <c r="Q734" t="str">
        <f>_xlfn.XLOOKUP(Base_CRM[[#This Row],[Cód do Cliente]],'[1]F &amp; O'!$A:$A,'[1]F &amp; O'!$F:$F,_xlfn.XLOOKUP(Base_CRM[[#This Row],[Assessor]],[1]DePara!$A:$A,[1]DePara!$D:$D,"Outros",0,1),0,1)</f>
        <v>Caroline Vlavianos</v>
      </c>
      <c r="R734" s="11" t="str">
        <f>_xlfn.XLOOKUP(Base_CRM[[#This Row],[Cód do Cliente]],'[1]F &amp; O'!$A:$A,'[1]F &amp; O'!D:D,"Sem Finder",0,1)</f>
        <v>Sem Finder</v>
      </c>
      <c r="S734" s="11" t="str">
        <f>_xlfn.XLOOKUP(Base_CRM[[#This Row],[Cód do Cliente]],'[1]F &amp; O'!$A:$A,'[1]F &amp; O'!E:E,"Sem Canal",0,1)</f>
        <v>Sem Canal</v>
      </c>
      <c r="T734" s="11" t="str">
        <f t="shared" si="11"/>
        <v>Cliente XP</v>
      </c>
    </row>
    <row r="735" spans="1:20" x14ac:dyDescent="0.3">
      <c r="A735">
        <v>16784671</v>
      </c>
      <c r="B735" s="8" t="s">
        <v>1659</v>
      </c>
      <c r="C735" s="9" t="s">
        <v>21</v>
      </c>
      <c r="D735" s="8">
        <v>0</v>
      </c>
      <c r="F735" t="s">
        <v>29</v>
      </c>
      <c r="G735" t="s">
        <v>1390</v>
      </c>
      <c r="H735" s="10"/>
      <c r="I735" s="10" t="s">
        <v>24</v>
      </c>
      <c r="J735" t="s">
        <v>1387</v>
      </c>
      <c r="L735" t="s">
        <v>1660</v>
      </c>
      <c r="N735" s="11" t="str">
        <f>Base_CRM[[#This Row],[Cidade]]&amp;"/"&amp;Base_CRM[[#This Row],[Estado]]</f>
        <v>RIO DE JANEIRO/RJ</v>
      </c>
      <c r="O735" s="12">
        <f>IFERROR(IF(Base_CRM[[#This Row],[PL Tailor]]&gt;Base_CRM[[#This Row],[PL Declarado]],1,Base_CRM[[#This Row],[PL Tailor]]/Base_CRM[[#This Row],[PL Declarado]]),0)</f>
        <v>0</v>
      </c>
      <c r="P735" s="11" t="str">
        <f>IF(Base_CRM[[#This Row],[Estado Civil]]="","PESSOA JURÍDICA","PESSOA FÍSICA")</f>
        <v>PESSOA JURÍDICA</v>
      </c>
      <c r="Q735" t="str">
        <f>_xlfn.XLOOKUP(Base_CRM[[#This Row],[Cód do Cliente]],'[1]F &amp; O'!$A:$A,'[1]F &amp; O'!$F:$F,_xlfn.XLOOKUP(Base_CRM[[#This Row],[Assessor]],[1]DePara!$A:$A,[1]DePara!$D:$D,"Outros",0,1),0,1)</f>
        <v>Leonardo Burle</v>
      </c>
      <c r="R735" s="11" t="str">
        <f>_xlfn.XLOOKUP(Base_CRM[[#This Row],[Cód do Cliente]],'[1]F &amp; O'!$A:$A,'[1]F &amp; O'!D:D,"Sem Finder",0,1)</f>
        <v>Sem Finder</v>
      </c>
      <c r="S735" s="11" t="str">
        <f>_xlfn.XLOOKUP(Base_CRM[[#This Row],[Cód do Cliente]],'[1]F &amp; O'!$A:$A,'[1]F &amp; O'!E:E,"Sem Canal",0,1)</f>
        <v>Sem Canal</v>
      </c>
      <c r="T735" s="11" t="str">
        <f t="shared" si="11"/>
        <v>Cliente XP</v>
      </c>
    </row>
    <row r="736" spans="1:20" x14ac:dyDescent="0.3">
      <c r="A736">
        <v>15011720</v>
      </c>
      <c r="B736" s="8" t="s">
        <v>1661</v>
      </c>
      <c r="C736" s="9" t="s">
        <v>21</v>
      </c>
      <c r="D736" s="8">
        <v>802462.74</v>
      </c>
      <c r="F736" t="s">
        <v>29</v>
      </c>
      <c r="G736" t="s">
        <v>1390</v>
      </c>
      <c r="H736" s="10"/>
      <c r="I736" s="10" t="s">
        <v>463</v>
      </c>
      <c r="J736" t="s">
        <v>1420</v>
      </c>
      <c r="L736" t="s">
        <v>1662</v>
      </c>
      <c r="M736" t="s">
        <v>64</v>
      </c>
      <c r="N736" s="11" t="str">
        <f>Base_CRM[[#This Row],[Cidade]]&amp;"/"&amp;Base_CRM[[#This Row],[Estado]]</f>
        <v>BRASILIA/DF</v>
      </c>
      <c r="O736" s="12">
        <f>IFERROR(IF(Base_CRM[[#This Row],[PL Tailor]]&gt;Base_CRM[[#This Row],[PL Declarado]],1,Base_CRM[[#This Row],[PL Tailor]]/Base_CRM[[#This Row],[PL Declarado]]),0)</f>
        <v>1</v>
      </c>
      <c r="P736" s="11" t="str">
        <f>IF(Base_CRM[[#This Row],[Estado Civil]]="","PESSOA JURÍDICA","PESSOA FÍSICA")</f>
        <v>PESSOA JURÍDICA</v>
      </c>
      <c r="Q736" t="str">
        <f>_xlfn.XLOOKUP(Base_CRM[[#This Row],[Cód do Cliente]],'[1]F &amp; O'!$A:$A,'[1]F &amp; O'!$F:$F,_xlfn.XLOOKUP(Base_CRM[[#This Row],[Assessor]],[1]DePara!$A:$A,[1]DePara!$D:$D,"Outros",0,1),0,1)</f>
        <v>Leonardo Burle</v>
      </c>
      <c r="R736" s="11" t="str">
        <f>_xlfn.XLOOKUP(Base_CRM[[#This Row],[Cód do Cliente]],'[1]F &amp; O'!$A:$A,'[1]F &amp; O'!D:D,"Sem Finder",0,1)</f>
        <v>Sem Finder</v>
      </c>
      <c r="S736" s="11" t="str">
        <f>_xlfn.XLOOKUP(Base_CRM[[#This Row],[Cód do Cliente]],'[1]F &amp; O'!$A:$A,'[1]F &amp; O'!E:E,"Sem Canal",0,1)</f>
        <v>Sem Canal</v>
      </c>
      <c r="T736" s="11" t="str">
        <f t="shared" si="11"/>
        <v>Cliente XP</v>
      </c>
    </row>
    <row r="737" spans="1:20" x14ac:dyDescent="0.3">
      <c r="A737">
        <v>8422812</v>
      </c>
      <c r="B737" s="8" t="s">
        <v>1663</v>
      </c>
      <c r="C737" s="9" t="s">
        <v>21</v>
      </c>
      <c r="D737" s="8">
        <v>2055194.79</v>
      </c>
      <c r="F737" t="s">
        <v>29</v>
      </c>
      <c r="G737" t="s">
        <v>1390</v>
      </c>
      <c r="H737" s="10"/>
      <c r="I737" s="10" t="s">
        <v>349</v>
      </c>
      <c r="J737" t="s">
        <v>1399</v>
      </c>
      <c r="L737" t="s">
        <v>1664</v>
      </c>
      <c r="M737" t="s">
        <v>64</v>
      </c>
      <c r="N737" s="11" t="str">
        <f>Base_CRM[[#This Row],[Cidade]]&amp;"/"&amp;Base_CRM[[#This Row],[Estado]]</f>
        <v>São Paulo/SP</v>
      </c>
      <c r="O737" s="12">
        <f>IFERROR(IF(Base_CRM[[#This Row],[PL Tailor]]&gt;Base_CRM[[#This Row],[PL Declarado]],1,Base_CRM[[#This Row],[PL Tailor]]/Base_CRM[[#This Row],[PL Declarado]]),0)</f>
        <v>1</v>
      </c>
      <c r="P737" s="11" t="str">
        <f>IF(Base_CRM[[#This Row],[Estado Civil]]="","PESSOA JURÍDICA","PESSOA FÍSICA")</f>
        <v>PESSOA JURÍDICA</v>
      </c>
      <c r="Q737" t="str">
        <f>_xlfn.XLOOKUP(Base_CRM[[#This Row],[Cód do Cliente]],'[1]F &amp; O'!$A:$A,'[1]F &amp; O'!$F:$F,_xlfn.XLOOKUP(Base_CRM[[#This Row],[Assessor]],[1]DePara!$A:$A,[1]DePara!$D:$D,"Outros",0,1),0,1)</f>
        <v>Leonardo Burle</v>
      </c>
      <c r="R737" s="11" t="str">
        <f>_xlfn.XLOOKUP(Base_CRM[[#This Row],[Cód do Cliente]],'[1]F &amp; O'!$A:$A,'[1]F &amp; O'!D:D,"Sem Finder",0,1)</f>
        <v>Sem Finder</v>
      </c>
      <c r="S737" s="11" t="str">
        <f>_xlfn.XLOOKUP(Base_CRM[[#This Row],[Cód do Cliente]],'[1]F &amp; O'!$A:$A,'[1]F &amp; O'!E:E,"Sem Canal",0,1)</f>
        <v>Sem Canal</v>
      </c>
      <c r="T737" s="11" t="str">
        <f t="shared" si="11"/>
        <v>Cliente XP</v>
      </c>
    </row>
    <row r="738" spans="1:20" x14ac:dyDescent="0.3">
      <c r="A738">
        <v>18933125</v>
      </c>
      <c r="B738" s="8" t="s">
        <v>1665</v>
      </c>
      <c r="C738" s="9" t="s">
        <v>21</v>
      </c>
      <c r="D738" s="8">
        <v>0</v>
      </c>
      <c r="G738" t="s">
        <v>1390</v>
      </c>
      <c r="H738" s="10"/>
      <c r="I738" s="10" t="s">
        <v>130</v>
      </c>
      <c r="J738" t="s">
        <v>1643</v>
      </c>
      <c r="L738" t="s">
        <v>1666</v>
      </c>
      <c r="N738" s="11" t="str">
        <f>Base_CRM[[#This Row],[Cidade]]&amp;"/"&amp;Base_CRM[[#This Row],[Estado]]</f>
        <v>FLORIANOPOLIS/SC</v>
      </c>
      <c r="O738" s="12">
        <f>IFERROR(IF(Base_CRM[[#This Row],[PL Tailor]]&gt;Base_CRM[[#This Row],[PL Declarado]],1,Base_CRM[[#This Row],[PL Tailor]]/Base_CRM[[#This Row],[PL Declarado]]),0)</f>
        <v>0</v>
      </c>
      <c r="P738" s="11" t="str">
        <f>IF(Base_CRM[[#This Row],[Estado Civil]]="","PESSOA JURÍDICA","PESSOA FÍSICA")</f>
        <v>PESSOA JURÍDICA</v>
      </c>
      <c r="Q738" t="str">
        <f>_xlfn.XLOOKUP(Base_CRM[[#This Row],[Cód do Cliente]],'[1]F &amp; O'!$A:$A,'[1]F &amp; O'!$F:$F,_xlfn.XLOOKUP(Base_CRM[[#This Row],[Assessor]],[1]DePara!$A:$A,[1]DePara!$D:$D,"Outros",0,1),0,1)</f>
        <v>Leonardo Burle</v>
      </c>
      <c r="R738" s="11" t="str">
        <f>_xlfn.XLOOKUP(Base_CRM[[#This Row],[Cód do Cliente]],'[1]F &amp; O'!$A:$A,'[1]F &amp; O'!D:D,"Sem Finder",0,1)</f>
        <v>Sem Finder</v>
      </c>
      <c r="S738" s="11" t="str">
        <f>_xlfn.XLOOKUP(Base_CRM[[#This Row],[Cód do Cliente]],'[1]F &amp; O'!$A:$A,'[1]F &amp; O'!E:E,"Sem Canal",0,1)</f>
        <v>Sem Canal</v>
      </c>
      <c r="T738" s="11" t="str">
        <f t="shared" si="11"/>
        <v>Cliente XP</v>
      </c>
    </row>
    <row r="739" spans="1:20" x14ac:dyDescent="0.3">
      <c r="A739">
        <v>14961231</v>
      </c>
      <c r="B739" s="8" t="s">
        <v>1667</v>
      </c>
      <c r="C739" s="9" t="s">
        <v>21</v>
      </c>
      <c r="D739" s="8">
        <v>0</v>
      </c>
      <c r="F739" t="s">
        <v>29</v>
      </c>
      <c r="G739" t="s">
        <v>1390</v>
      </c>
      <c r="H739" s="10"/>
      <c r="I739" s="10" t="s">
        <v>566</v>
      </c>
      <c r="J739" t="s">
        <v>1624</v>
      </c>
      <c r="L739" t="s">
        <v>1668</v>
      </c>
      <c r="M739" t="s">
        <v>64</v>
      </c>
      <c r="N739" s="11" t="str">
        <f>Base_CRM[[#This Row],[Cidade]]&amp;"/"&amp;Base_CRM[[#This Row],[Estado]]</f>
        <v>VITORIA/ES</v>
      </c>
      <c r="O739" s="12">
        <f>IFERROR(IF(Base_CRM[[#This Row],[PL Tailor]]&gt;Base_CRM[[#This Row],[PL Declarado]],1,Base_CRM[[#This Row],[PL Tailor]]/Base_CRM[[#This Row],[PL Declarado]]),0)</f>
        <v>0</v>
      </c>
      <c r="P739" s="11" t="str">
        <f>IF(Base_CRM[[#This Row],[Estado Civil]]="","PESSOA JURÍDICA","PESSOA FÍSICA")</f>
        <v>PESSOA JURÍDICA</v>
      </c>
      <c r="Q739" t="str">
        <f>_xlfn.XLOOKUP(Base_CRM[[#This Row],[Cód do Cliente]],'[1]F &amp; O'!$A:$A,'[1]F &amp; O'!$F:$F,_xlfn.XLOOKUP(Base_CRM[[#This Row],[Assessor]],[1]DePara!$A:$A,[1]DePara!$D:$D,"Outros",0,1),0,1)</f>
        <v>Leonardo Burle</v>
      </c>
      <c r="R739" s="11" t="str">
        <f>_xlfn.XLOOKUP(Base_CRM[[#This Row],[Cód do Cliente]],'[1]F &amp; O'!$A:$A,'[1]F &amp; O'!D:D,"Sem Finder",0,1)</f>
        <v>Sem Finder</v>
      </c>
      <c r="S739" s="11" t="str">
        <f>_xlfn.XLOOKUP(Base_CRM[[#This Row],[Cód do Cliente]],'[1]F &amp; O'!$A:$A,'[1]F &amp; O'!E:E,"Sem Canal",0,1)</f>
        <v>Sem Canal</v>
      </c>
      <c r="T739" s="11" t="str">
        <f t="shared" si="11"/>
        <v>Cliente XP</v>
      </c>
    </row>
    <row r="740" spans="1:20" x14ac:dyDescent="0.3">
      <c r="A740">
        <v>8480577</v>
      </c>
      <c r="B740" s="8" t="s">
        <v>1669</v>
      </c>
      <c r="C740" s="9" t="s">
        <v>21</v>
      </c>
      <c r="D740" s="8">
        <v>485706.09</v>
      </c>
      <c r="F740" t="s">
        <v>29</v>
      </c>
      <c r="G740" t="s">
        <v>1390</v>
      </c>
      <c r="H740" s="10"/>
      <c r="I740" s="10" t="s">
        <v>24</v>
      </c>
      <c r="J740" t="s">
        <v>1387</v>
      </c>
      <c r="L740" t="s">
        <v>1670</v>
      </c>
      <c r="M740" t="s">
        <v>64</v>
      </c>
      <c r="N740" s="11" t="str">
        <f>Base_CRM[[#This Row],[Cidade]]&amp;"/"&amp;Base_CRM[[#This Row],[Estado]]</f>
        <v>RIO DE JANEIRO/RJ</v>
      </c>
      <c r="O740" s="12">
        <f>IFERROR(IF(Base_CRM[[#This Row],[PL Tailor]]&gt;Base_CRM[[#This Row],[PL Declarado]],1,Base_CRM[[#This Row],[PL Tailor]]/Base_CRM[[#This Row],[PL Declarado]]),0)</f>
        <v>1</v>
      </c>
      <c r="P740" s="11" t="str">
        <f>IF(Base_CRM[[#This Row],[Estado Civil]]="","PESSOA JURÍDICA","PESSOA FÍSICA")</f>
        <v>PESSOA JURÍDICA</v>
      </c>
      <c r="Q740" t="str">
        <f>_xlfn.XLOOKUP(Base_CRM[[#This Row],[Cód do Cliente]],'[1]F &amp; O'!$A:$A,'[1]F &amp; O'!$F:$F,_xlfn.XLOOKUP(Base_CRM[[#This Row],[Assessor]],[1]DePara!$A:$A,[1]DePara!$D:$D,"Outros",0,1),0,1)</f>
        <v>Leonardo Burle</v>
      </c>
      <c r="R740" s="11" t="str">
        <f>_xlfn.XLOOKUP(Base_CRM[[#This Row],[Cód do Cliente]],'[1]F &amp; O'!$A:$A,'[1]F &amp; O'!D:D,"Sem Finder",0,1)</f>
        <v>Sem Finder</v>
      </c>
      <c r="S740" s="11" t="str">
        <f>_xlfn.XLOOKUP(Base_CRM[[#This Row],[Cód do Cliente]],'[1]F &amp; O'!$A:$A,'[1]F &amp; O'!E:E,"Sem Canal",0,1)</f>
        <v>Sem Canal</v>
      </c>
      <c r="T740" s="11" t="str">
        <f t="shared" si="11"/>
        <v>Cliente XP</v>
      </c>
    </row>
    <row r="741" spans="1:20" x14ac:dyDescent="0.3">
      <c r="A741">
        <v>15602311</v>
      </c>
      <c r="B741" s="8" t="s">
        <v>1671</v>
      </c>
      <c r="C741" s="9" t="s">
        <v>74</v>
      </c>
      <c r="D741" s="8">
        <v>3.68</v>
      </c>
      <c r="F741" t="s">
        <v>22</v>
      </c>
      <c r="G741" t="s">
        <v>1435</v>
      </c>
      <c r="H741" s="10"/>
      <c r="I741" s="10" t="s">
        <v>1672</v>
      </c>
      <c r="J741" t="s">
        <v>1399</v>
      </c>
      <c r="L741" t="s">
        <v>1673</v>
      </c>
      <c r="N741" s="11" t="str">
        <f>Base_CRM[[#This Row],[Cidade]]&amp;"/"&amp;Base_CRM[[#This Row],[Estado]]</f>
        <v>ITAQUAQUECETUBA/SP</v>
      </c>
      <c r="O741" s="12">
        <f>IFERROR(IF(Base_CRM[[#This Row],[PL Tailor]]&gt;Base_CRM[[#This Row],[PL Declarado]],1,Base_CRM[[#This Row],[PL Tailor]]/Base_CRM[[#This Row],[PL Declarado]]),0)</f>
        <v>1</v>
      </c>
      <c r="P741" s="11" t="str">
        <f>IF(Base_CRM[[#This Row],[Estado Civil]]="","PESSOA JURÍDICA","PESSOA FÍSICA")</f>
        <v>PESSOA JURÍDICA</v>
      </c>
      <c r="Q741" t="str">
        <f>_xlfn.XLOOKUP(Base_CRM[[#This Row],[Cód do Cliente]],'[1]F &amp; O'!$A:$A,'[1]F &amp; O'!$F:$F,_xlfn.XLOOKUP(Base_CRM[[#This Row],[Assessor]],[1]DePara!$A:$A,[1]DePara!$D:$D,"Outros",0,1),0,1)</f>
        <v>Thayane Freitas</v>
      </c>
      <c r="R741" s="11" t="str">
        <f>_xlfn.XLOOKUP(Base_CRM[[#This Row],[Cód do Cliente]],'[1]F &amp; O'!$A:$A,'[1]F &amp; O'!D:D,"Sem Finder",0,1)</f>
        <v>Sem Finder</v>
      </c>
      <c r="S741" s="11" t="str">
        <f>_xlfn.XLOOKUP(Base_CRM[[#This Row],[Cód do Cliente]],'[1]F &amp; O'!$A:$A,'[1]F &amp; O'!E:E,"Sem Canal",0,1)</f>
        <v>Sem Canal</v>
      </c>
      <c r="T741" s="11" t="str">
        <f t="shared" si="11"/>
        <v>Cliente XP</v>
      </c>
    </row>
    <row r="742" spans="1:20" x14ac:dyDescent="0.3">
      <c r="A742">
        <v>9804395</v>
      </c>
      <c r="B742" s="8" t="s">
        <v>1671</v>
      </c>
      <c r="C742" s="9" t="s">
        <v>39</v>
      </c>
      <c r="D742" s="8">
        <v>0</v>
      </c>
      <c r="F742" t="s">
        <v>22</v>
      </c>
      <c r="G742" t="s">
        <v>1435</v>
      </c>
      <c r="H742" s="10"/>
      <c r="I742" s="10" t="s">
        <v>1672</v>
      </c>
      <c r="J742" t="s">
        <v>1399</v>
      </c>
      <c r="L742" t="s">
        <v>1673</v>
      </c>
      <c r="N742" s="11" t="str">
        <f>Base_CRM[[#This Row],[Cidade]]&amp;"/"&amp;Base_CRM[[#This Row],[Estado]]</f>
        <v>ITAQUAQUECETUBA/SP</v>
      </c>
      <c r="O742" s="12">
        <f>IFERROR(IF(Base_CRM[[#This Row],[PL Tailor]]&gt;Base_CRM[[#This Row],[PL Declarado]],1,Base_CRM[[#This Row],[PL Tailor]]/Base_CRM[[#This Row],[PL Declarado]]),0)</f>
        <v>0</v>
      </c>
      <c r="P742" s="11" t="str">
        <f>IF(Base_CRM[[#This Row],[Estado Civil]]="","PESSOA JURÍDICA","PESSOA FÍSICA")</f>
        <v>PESSOA JURÍDICA</v>
      </c>
      <c r="Q742" t="str">
        <f>_xlfn.XLOOKUP(Base_CRM[[#This Row],[Cód do Cliente]],'[1]F &amp; O'!$A:$A,'[1]F &amp; O'!$F:$F,_xlfn.XLOOKUP(Base_CRM[[#This Row],[Assessor]],[1]DePara!$A:$A,[1]DePara!$D:$D,"Outros",0,1),0,1)</f>
        <v>Gestora</v>
      </c>
      <c r="R742" s="11" t="str">
        <f>_xlfn.XLOOKUP(Base_CRM[[#This Row],[Cód do Cliente]],'[1]F &amp; O'!$A:$A,'[1]F &amp; O'!D:D,"Sem Finder",0,1)</f>
        <v>Sem Finder</v>
      </c>
      <c r="S742" s="11" t="str">
        <f>_xlfn.XLOOKUP(Base_CRM[[#This Row],[Cód do Cliente]],'[1]F &amp; O'!$A:$A,'[1]F &amp; O'!E:E,"Sem Canal",0,1)</f>
        <v>Gestora</v>
      </c>
      <c r="T742" s="11" t="str">
        <f t="shared" si="11"/>
        <v>Cliente XP</v>
      </c>
    </row>
    <row r="743" spans="1:20" x14ac:dyDescent="0.3">
      <c r="A743">
        <v>8526897</v>
      </c>
      <c r="B743" s="8" t="s">
        <v>1674</v>
      </c>
      <c r="C743" s="9" t="s">
        <v>48</v>
      </c>
      <c r="D743" s="8">
        <v>0</v>
      </c>
      <c r="F743" t="s">
        <v>40</v>
      </c>
      <c r="G743" t="s">
        <v>1428</v>
      </c>
      <c r="H743" s="10"/>
      <c r="I743" s="10" t="s">
        <v>1675</v>
      </c>
      <c r="J743" t="s">
        <v>1643</v>
      </c>
      <c r="L743" t="s">
        <v>1676</v>
      </c>
      <c r="N743" s="11" t="str">
        <f>Base_CRM[[#This Row],[Cidade]]&amp;"/"&amp;Base_CRM[[#This Row],[Estado]]</f>
        <v>GUARAMIRIM/SC</v>
      </c>
      <c r="O743" s="12">
        <f>IFERROR(IF(Base_CRM[[#This Row],[PL Tailor]]&gt;Base_CRM[[#This Row],[PL Declarado]],1,Base_CRM[[#This Row],[PL Tailor]]/Base_CRM[[#This Row],[PL Declarado]]),0)</f>
        <v>0</v>
      </c>
      <c r="P743" s="11" t="str">
        <f>IF(Base_CRM[[#This Row],[Estado Civil]]="","PESSOA JURÍDICA","PESSOA FÍSICA")</f>
        <v>PESSOA JURÍDICA</v>
      </c>
      <c r="Q743" t="str">
        <f>_xlfn.XLOOKUP(Base_CRM[[#This Row],[Cód do Cliente]],'[1]F &amp; O'!$A:$A,'[1]F &amp; O'!$F:$F,_xlfn.XLOOKUP(Base_CRM[[#This Row],[Assessor]],[1]DePara!$A:$A,[1]DePara!$D:$D,"Outros",0,1),0,1)</f>
        <v>Raphael Farias</v>
      </c>
      <c r="R743" s="11" t="str">
        <f>_xlfn.XLOOKUP(Base_CRM[[#This Row],[Cód do Cliente]],'[1]F &amp; O'!$A:$A,'[1]F &amp; O'!D:D,"Sem Finder",0,1)</f>
        <v>Sem Finder</v>
      </c>
      <c r="S743" s="11" t="str">
        <f>_xlfn.XLOOKUP(Base_CRM[[#This Row],[Cód do Cliente]],'[1]F &amp; O'!$A:$A,'[1]F &amp; O'!E:E,"Sem Canal",0,1)</f>
        <v>Sem Canal</v>
      </c>
      <c r="T743" s="11" t="str">
        <f t="shared" si="11"/>
        <v>Cliente XP</v>
      </c>
    </row>
    <row r="744" spans="1:20" x14ac:dyDescent="0.3">
      <c r="A744">
        <v>17161710</v>
      </c>
      <c r="B744" s="8" t="s">
        <v>1677</v>
      </c>
      <c r="C744" s="9" t="s">
        <v>48</v>
      </c>
      <c r="D744" s="8">
        <v>0</v>
      </c>
      <c r="G744" t="s">
        <v>1629</v>
      </c>
      <c r="H744" s="10"/>
      <c r="I744" s="10" t="s">
        <v>1678</v>
      </c>
      <c r="J744" t="s">
        <v>1396</v>
      </c>
      <c r="L744" t="s">
        <v>1679</v>
      </c>
      <c r="N744" s="11" t="str">
        <f>Base_CRM[[#This Row],[Cidade]]&amp;"/"&amp;Base_CRM[[#This Row],[Estado]]</f>
        <v>PINHAIS/PR</v>
      </c>
      <c r="O744" s="12">
        <f>IFERROR(IF(Base_CRM[[#This Row],[PL Tailor]]&gt;Base_CRM[[#This Row],[PL Declarado]],1,Base_CRM[[#This Row],[PL Tailor]]/Base_CRM[[#This Row],[PL Declarado]]),0)</f>
        <v>0</v>
      </c>
      <c r="P744" s="11" t="str">
        <f>IF(Base_CRM[[#This Row],[Estado Civil]]="","PESSOA JURÍDICA","PESSOA FÍSICA")</f>
        <v>PESSOA JURÍDICA</v>
      </c>
      <c r="Q744" t="str">
        <f>_xlfn.XLOOKUP(Base_CRM[[#This Row],[Cód do Cliente]],'[1]F &amp; O'!$A:$A,'[1]F &amp; O'!$F:$F,_xlfn.XLOOKUP(Base_CRM[[#This Row],[Assessor]],[1]DePara!$A:$A,[1]DePara!$D:$D,"Outros",0,1),0,1)</f>
        <v>Raphael Farias</v>
      </c>
      <c r="R744" s="11" t="str">
        <f>_xlfn.XLOOKUP(Base_CRM[[#This Row],[Cód do Cliente]],'[1]F &amp; O'!$A:$A,'[1]F &amp; O'!D:D,"Sem Finder",0,1)</f>
        <v>Sem Finder</v>
      </c>
      <c r="S744" s="11" t="str">
        <f>_xlfn.XLOOKUP(Base_CRM[[#This Row],[Cód do Cliente]],'[1]F &amp; O'!$A:$A,'[1]F &amp; O'!E:E,"Sem Canal",0,1)</f>
        <v>Sem Canal</v>
      </c>
      <c r="T744" s="11" t="str">
        <f t="shared" si="11"/>
        <v>Cliente XP</v>
      </c>
    </row>
    <row r="745" spans="1:20" x14ac:dyDescent="0.3">
      <c r="A745">
        <v>2988537</v>
      </c>
      <c r="B745" s="8" t="s">
        <v>1680</v>
      </c>
      <c r="C745" s="9" t="s">
        <v>39</v>
      </c>
      <c r="D745" s="8">
        <v>16.18</v>
      </c>
      <c r="F745" t="s">
        <v>92</v>
      </c>
      <c r="G745" t="s">
        <v>1382</v>
      </c>
      <c r="H745" s="10"/>
      <c r="I745" s="10" t="s">
        <v>785</v>
      </c>
      <c r="J745" t="s">
        <v>1399</v>
      </c>
      <c r="L745" t="s">
        <v>1681</v>
      </c>
      <c r="N745" s="11" t="str">
        <f>Base_CRM[[#This Row],[Cidade]]&amp;"/"&amp;Base_CRM[[#This Row],[Estado]]</f>
        <v>SÃO PAULO/SP</v>
      </c>
      <c r="O745" s="12">
        <f>IFERROR(IF(Base_CRM[[#This Row],[PL Tailor]]&gt;Base_CRM[[#This Row],[PL Declarado]],1,Base_CRM[[#This Row],[PL Tailor]]/Base_CRM[[#This Row],[PL Declarado]]),0)</f>
        <v>1</v>
      </c>
      <c r="P745" s="11" t="str">
        <f>IF(Base_CRM[[#This Row],[Estado Civil]]="","PESSOA JURÍDICA","PESSOA FÍSICA")</f>
        <v>PESSOA JURÍDICA</v>
      </c>
      <c r="Q745" t="str">
        <f>_xlfn.XLOOKUP(Base_CRM[[#This Row],[Cód do Cliente]],'[1]F &amp; O'!$A:$A,'[1]F &amp; O'!$F:$F,_xlfn.XLOOKUP(Base_CRM[[#This Row],[Assessor]],[1]DePara!$A:$A,[1]DePara!$D:$D,"Outros",0,1),0,1)</f>
        <v>Gestora</v>
      </c>
      <c r="R745" s="11" t="str">
        <f>_xlfn.XLOOKUP(Base_CRM[[#This Row],[Cód do Cliente]],'[1]F &amp; O'!$A:$A,'[1]F &amp; O'!D:D,"Sem Finder",0,1)</f>
        <v>Sem Finder</v>
      </c>
      <c r="S745" s="11" t="str">
        <f>_xlfn.XLOOKUP(Base_CRM[[#This Row],[Cód do Cliente]],'[1]F &amp; O'!$A:$A,'[1]F &amp; O'!E:E,"Sem Canal",0,1)</f>
        <v>Gestora</v>
      </c>
      <c r="T745" s="11" t="str">
        <f t="shared" si="11"/>
        <v>Cliente XP</v>
      </c>
    </row>
    <row r="746" spans="1:20" x14ac:dyDescent="0.3">
      <c r="A746">
        <v>17607358</v>
      </c>
      <c r="B746" s="8" t="s">
        <v>1682</v>
      </c>
      <c r="C746" s="9" t="s">
        <v>39</v>
      </c>
      <c r="D746" s="8">
        <v>692.65</v>
      </c>
      <c r="F746" t="s">
        <v>29</v>
      </c>
      <c r="G746" t="s">
        <v>1390</v>
      </c>
      <c r="H746" s="10"/>
      <c r="I746" s="10" t="s">
        <v>115</v>
      </c>
      <c r="J746" t="s">
        <v>1399</v>
      </c>
      <c r="L746" t="s">
        <v>1683</v>
      </c>
      <c r="N746" s="11" t="str">
        <f>Base_CRM[[#This Row],[Cidade]]&amp;"/"&amp;Base_CRM[[#This Row],[Estado]]</f>
        <v>BARUERI/SP</v>
      </c>
      <c r="O746" s="12">
        <f>IFERROR(IF(Base_CRM[[#This Row],[PL Tailor]]&gt;Base_CRM[[#This Row],[PL Declarado]],1,Base_CRM[[#This Row],[PL Tailor]]/Base_CRM[[#This Row],[PL Declarado]]),0)</f>
        <v>1</v>
      </c>
      <c r="P746" s="11" t="str">
        <f>IF(Base_CRM[[#This Row],[Estado Civil]]="","PESSOA JURÍDICA","PESSOA FÍSICA")</f>
        <v>PESSOA JURÍDICA</v>
      </c>
      <c r="Q746" t="str">
        <f>_xlfn.XLOOKUP(Base_CRM[[#This Row],[Cód do Cliente]],'[1]F &amp; O'!$A:$A,'[1]F &amp; O'!$F:$F,_xlfn.XLOOKUP(Base_CRM[[#This Row],[Assessor]],[1]DePara!$A:$A,[1]DePara!$D:$D,"Outros",0,1),0,1)</f>
        <v>Gestora</v>
      </c>
      <c r="R746" s="11" t="str">
        <f>_xlfn.XLOOKUP(Base_CRM[[#This Row],[Cód do Cliente]],'[1]F &amp; O'!$A:$A,'[1]F &amp; O'!D:D,"Sem Finder",0,1)</f>
        <v>Sem Finder</v>
      </c>
      <c r="S746" s="11" t="str">
        <f>_xlfn.XLOOKUP(Base_CRM[[#This Row],[Cód do Cliente]],'[1]F &amp; O'!$A:$A,'[1]F &amp; O'!E:E,"Sem Canal",0,1)</f>
        <v>Gestora</v>
      </c>
      <c r="T746" s="11" t="str">
        <f t="shared" si="11"/>
        <v>Cliente XP</v>
      </c>
    </row>
    <row r="747" spans="1:20" x14ac:dyDescent="0.3">
      <c r="A747">
        <v>15658556</v>
      </c>
      <c r="B747" s="8" t="s">
        <v>1684</v>
      </c>
      <c r="C747" s="9" t="s">
        <v>21</v>
      </c>
      <c r="D747" s="8">
        <v>218585.34</v>
      </c>
      <c r="F747" t="s">
        <v>29</v>
      </c>
      <c r="G747" t="s">
        <v>1428</v>
      </c>
      <c r="H747" s="10"/>
      <c r="I747" s="10" t="s">
        <v>84</v>
      </c>
      <c r="J747" t="s">
        <v>1387</v>
      </c>
      <c r="L747" t="s">
        <v>1685</v>
      </c>
      <c r="N747" s="11" t="str">
        <f>Base_CRM[[#This Row],[Cidade]]&amp;"/"&amp;Base_CRM[[#This Row],[Estado]]</f>
        <v>NITEROI/RJ</v>
      </c>
      <c r="O747" s="12">
        <f>IFERROR(IF(Base_CRM[[#This Row],[PL Tailor]]&gt;Base_CRM[[#This Row],[PL Declarado]],1,Base_CRM[[#This Row],[PL Tailor]]/Base_CRM[[#This Row],[PL Declarado]]),0)</f>
        <v>1</v>
      </c>
      <c r="P747" s="11" t="str">
        <f>IF(Base_CRM[[#This Row],[Estado Civil]]="","PESSOA JURÍDICA","PESSOA FÍSICA")</f>
        <v>PESSOA JURÍDICA</v>
      </c>
      <c r="Q747" t="str">
        <f>_xlfn.XLOOKUP(Base_CRM[[#This Row],[Cód do Cliente]],'[1]F &amp; O'!$A:$A,'[1]F &amp; O'!$F:$F,_xlfn.XLOOKUP(Base_CRM[[#This Row],[Assessor]],[1]DePara!$A:$A,[1]DePara!$D:$D,"Outros",0,1),0,1)</f>
        <v>Leonardo Burle</v>
      </c>
      <c r="R747" s="11" t="str">
        <f>_xlfn.XLOOKUP(Base_CRM[[#This Row],[Cód do Cliente]],'[1]F &amp; O'!$A:$A,'[1]F &amp; O'!D:D,"Sem Finder",0,1)</f>
        <v>Frederico Dantas</v>
      </c>
      <c r="S747" s="11" t="str">
        <f>_xlfn.XLOOKUP(Base_CRM[[#This Row],[Cód do Cliente]],'[1]F &amp; O'!$A:$A,'[1]F &amp; O'!E:E,"Sem Canal",0,1)</f>
        <v>Sem Canal</v>
      </c>
      <c r="T747" s="11" t="str">
        <f t="shared" si="11"/>
        <v>Cliente XP</v>
      </c>
    </row>
    <row r="748" spans="1:20" x14ac:dyDescent="0.3">
      <c r="A748">
        <v>18308213</v>
      </c>
      <c r="B748" s="8" t="s">
        <v>1686</v>
      </c>
      <c r="C748" s="9" t="s">
        <v>21</v>
      </c>
      <c r="D748" s="8">
        <v>1217954.77</v>
      </c>
      <c r="F748" t="s">
        <v>92</v>
      </c>
      <c r="G748" t="s">
        <v>1428</v>
      </c>
      <c r="H748" s="10"/>
      <c r="I748" s="10" t="s">
        <v>84</v>
      </c>
      <c r="J748" t="s">
        <v>1387</v>
      </c>
      <c r="L748" t="s">
        <v>1687</v>
      </c>
      <c r="N748" s="11" t="str">
        <f>Base_CRM[[#This Row],[Cidade]]&amp;"/"&amp;Base_CRM[[#This Row],[Estado]]</f>
        <v>NITEROI/RJ</v>
      </c>
      <c r="O748" s="12">
        <f>IFERROR(IF(Base_CRM[[#This Row],[PL Tailor]]&gt;Base_CRM[[#This Row],[PL Declarado]],1,Base_CRM[[#This Row],[PL Tailor]]/Base_CRM[[#This Row],[PL Declarado]]),0)</f>
        <v>1</v>
      </c>
      <c r="P748" s="11" t="str">
        <f>IF(Base_CRM[[#This Row],[Estado Civil]]="","PESSOA JURÍDICA","PESSOA FÍSICA")</f>
        <v>PESSOA JURÍDICA</v>
      </c>
      <c r="Q748" t="str">
        <f>_xlfn.XLOOKUP(Base_CRM[[#This Row],[Cód do Cliente]],'[1]F &amp; O'!$A:$A,'[1]F &amp; O'!$F:$F,_xlfn.XLOOKUP(Base_CRM[[#This Row],[Assessor]],[1]DePara!$A:$A,[1]DePara!$D:$D,"Outros",0,1),0,1)</f>
        <v>Leonardo Burle</v>
      </c>
      <c r="R748" s="11" t="str">
        <f>_xlfn.XLOOKUP(Base_CRM[[#This Row],[Cód do Cliente]],'[1]F &amp; O'!$A:$A,'[1]F &amp; O'!D:D,"Sem Finder",0,1)</f>
        <v>Sem Finder</v>
      </c>
      <c r="S748" s="11" t="str">
        <f>_xlfn.XLOOKUP(Base_CRM[[#This Row],[Cód do Cliente]],'[1]F &amp; O'!$A:$A,'[1]F &amp; O'!E:E,"Sem Canal",0,1)</f>
        <v>Sem Canal</v>
      </c>
      <c r="T748" s="11" t="str">
        <f t="shared" si="11"/>
        <v>Cliente XP</v>
      </c>
    </row>
    <row r="749" spans="1:20" x14ac:dyDescent="0.3">
      <c r="A749">
        <v>18312469</v>
      </c>
      <c r="B749" s="8" t="s">
        <v>1688</v>
      </c>
      <c r="C749" s="9" t="s">
        <v>21</v>
      </c>
      <c r="D749" s="8">
        <v>1484060.44</v>
      </c>
      <c r="F749" t="s">
        <v>92</v>
      </c>
      <c r="G749" t="s">
        <v>1428</v>
      </c>
      <c r="H749" s="10"/>
      <c r="I749" s="10" t="s">
        <v>84</v>
      </c>
      <c r="J749" t="s">
        <v>1387</v>
      </c>
      <c r="L749" t="s">
        <v>1689</v>
      </c>
      <c r="N749" s="11" t="str">
        <f>Base_CRM[[#This Row],[Cidade]]&amp;"/"&amp;Base_CRM[[#This Row],[Estado]]</f>
        <v>NITEROI/RJ</v>
      </c>
      <c r="O749" s="12">
        <f>IFERROR(IF(Base_CRM[[#This Row],[PL Tailor]]&gt;Base_CRM[[#This Row],[PL Declarado]],1,Base_CRM[[#This Row],[PL Tailor]]/Base_CRM[[#This Row],[PL Declarado]]),0)</f>
        <v>1</v>
      </c>
      <c r="P749" s="11" t="str">
        <f>IF(Base_CRM[[#This Row],[Estado Civil]]="","PESSOA JURÍDICA","PESSOA FÍSICA")</f>
        <v>PESSOA JURÍDICA</v>
      </c>
      <c r="Q749" t="str">
        <f>_xlfn.XLOOKUP(Base_CRM[[#This Row],[Cód do Cliente]],'[1]F &amp; O'!$A:$A,'[1]F &amp; O'!$F:$F,_xlfn.XLOOKUP(Base_CRM[[#This Row],[Assessor]],[1]DePara!$A:$A,[1]DePara!$D:$D,"Outros",0,1),0,1)</f>
        <v>Leonardo Burle</v>
      </c>
      <c r="R749" s="11" t="str">
        <f>_xlfn.XLOOKUP(Base_CRM[[#This Row],[Cód do Cliente]],'[1]F &amp; O'!$A:$A,'[1]F &amp; O'!D:D,"Sem Finder",0,1)</f>
        <v>Sem Finder</v>
      </c>
      <c r="S749" s="11" t="str">
        <f>_xlfn.XLOOKUP(Base_CRM[[#This Row],[Cód do Cliente]],'[1]F &amp; O'!$A:$A,'[1]F &amp; O'!E:E,"Sem Canal",0,1)</f>
        <v>Sem Canal</v>
      </c>
      <c r="T749" s="11" t="str">
        <f t="shared" si="11"/>
        <v>Cliente XP</v>
      </c>
    </row>
    <row r="750" spans="1:20" x14ac:dyDescent="0.3">
      <c r="A750">
        <v>15769357</v>
      </c>
      <c r="B750" s="8" t="s">
        <v>1690</v>
      </c>
      <c r="C750" s="9" t="s">
        <v>21</v>
      </c>
      <c r="D750" s="8">
        <v>19069.75</v>
      </c>
      <c r="F750" t="s">
        <v>29</v>
      </c>
      <c r="G750" t="s">
        <v>1428</v>
      </c>
      <c r="H750" s="10"/>
      <c r="I750" s="10" t="s">
        <v>84</v>
      </c>
      <c r="J750" t="s">
        <v>1387</v>
      </c>
      <c r="L750" t="s">
        <v>1691</v>
      </c>
      <c r="N750" s="11" t="str">
        <f>Base_CRM[[#This Row],[Cidade]]&amp;"/"&amp;Base_CRM[[#This Row],[Estado]]</f>
        <v>NITEROI/RJ</v>
      </c>
      <c r="O750" s="12">
        <f>IFERROR(IF(Base_CRM[[#This Row],[PL Tailor]]&gt;Base_CRM[[#This Row],[PL Declarado]],1,Base_CRM[[#This Row],[PL Tailor]]/Base_CRM[[#This Row],[PL Declarado]]),0)</f>
        <v>1</v>
      </c>
      <c r="P750" s="11" t="str">
        <f>IF(Base_CRM[[#This Row],[Estado Civil]]="","PESSOA JURÍDICA","PESSOA FÍSICA")</f>
        <v>PESSOA JURÍDICA</v>
      </c>
      <c r="Q750" t="str">
        <f>_xlfn.XLOOKUP(Base_CRM[[#This Row],[Cód do Cliente]],'[1]F &amp; O'!$A:$A,'[1]F &amp; O'!$F:$F,_xlfn.XLOOKUP(Base_CRM[[#This Row],[Assessor]],[1]DePara!$A:$A,[1]DePara!$D:$D,"Outros",0,1),0,1)</f>
        <v>Leonardo Burle</v>
      </c>
      <c r="R750" s="11" t="str">
        <f>_xlfn.XLOOKUP(Base_CRM[[#This Row],[Cód do Cliente]],'[1]F &amp; O'!$A:$A,'[1]F &amp; O'!D:D,"Sem Finder",0,1)</f>
        <v>Frederico Dantas</v>
      </c>
      <c r="S750" s="11" t="str">
        <f>_xlfn.XLOOKUP(Base_CRM[[#This Row],[Cód do Cliente]],'[1]F &amp; O'!$A:$A,'[1]F &amp; O'!E:E,"Sem Canal",0,1)</f>
        <v>Sem Canal</v>
      </c>
      <c r="T750" s="11" t="str">
        <f t="shared" si="11"/>
        <v>Cliente XP</v>
      </c>
    </row>
    <row r="751" spans="1:20" x14ac:dyDescent="0.3">
      <c r="A751">
        <v>17037522</v>
      </c>
      <c r="B751" s="8" t="s">
        <v>1692</v>
      </c>
      <c r="C751" s="9" t="s">
        <v>48</v>
      </c>
      <c r="D751" s="8">
        <v>3023699.81</v>
      </c>
      <c r="F751" t="s">
        <v>29</v>
      </c>
      <c r="G751" t="s">
        <v>1390</v>
      </c>
      <c r="H751" s="10"/>
      <c r="I751" s="10" t="s">
        <v>31</v>
      </c>
      <c r="J751" t="s">
        <v>1399</v>
      </c>
      <c r="L751" t="s">
        <v>1693</v>
      </c>
      <c r="N751" s="11" t="str">
        <f>Base_CRM[[#This Row],[Cidade]]&amp;"/"&amp;Base_CRM[[#This Row],[Estado]]</f>
        <v>SAO PAULO/SP</v>
      </c>
      <c r="O751" s="12">
        <f>IFERROR(IF(Base_CRM[[#This Row],[PL Tailor]]&gt;Base_CRM[[#This Row],[PL Declarado]],1,Base_CRM[[#This Row],[PL Tailor]]/Base_CRM[[#This Row],[PL Declarado]]),0)</f>
        <v>1</v>
      </c>
      <c r="P751" s="11" t="str">
        <f>IF(Base_CRM[[#This Row],[Estado Civil]]="","PESSOA JURÍDICA","PESSOA FÍSICA")</f>
        <v>PESSOA JURÍDICA</v>
      </c>
      <c r="Q751" t="str">
        <f>_xlfn.XLOOKUP(Base_CRM[[#This Row],[Cód do Cliente]],'[1]F &amp; O'!$A:$A,'[1]F &amp; O'!$F:$F,_xlfn.XLOOKUP(Base_CRM[[#This Row],[Assessor]],[1]DePara!$A:$A,[1]DePara!$D:$D,"Outros",0,1),0,1)</f>
        <v>Raphael Farias</v>
      </c>
      <c r="R751" s="11" t="str">
        <f>_xlfn.XLOOKUP(Base_CRM[[#This Row],[Cód do Cliente]],'[1]F &amp; O'!$A:$A,'[1]F &amp; O'!D:D,"Sem Finder",0,1)</f>
        <v>Sem Finder</v>
      </c>
      <c r="S751" s="11" t="str">
        <f>_xlfn.XLOOKUP(Base_CRM[[#This Row],[Cód do Cliente]],'[1]F &amp; O'!$A:$A,'[1]F &amp; O'!E:E,"Sem Canal",0,1)</f>
        <v>Sem Canal</v>
      </c>
      <c r="T751" s="11" t="str">
        <f t="shared" si="11"/>
        <v>Cliente XP</v>
      </c>
    </row>
    <row r="752" spans="1:20" x14ac:dyDescent="0.3">
      <c r="A752">
        <v>15412728</v>
      </c>
      <c r="B752" s="8" t="s">
        <v>1694</v>
      </c>
      <c r="C752" s="9" t="s">
        <v>103</v>
      </c>
      <c r="D752" s="8">
        <v>0</v>
      </c>
      <c r="F752" t="s">
        <v>29</v>
      </c>
      <c r="G752" t="s">
        <v>1386</v>
      </c>
      <c r="H752" s="10"/>
      <c r="I752" s="10" t="s">
        <v>24</v>
      </c>
      <c r="J752" t="s">
        <v>1387</v>
      </c>
      <c r="L752" t="s">
        <v>1695</v>
      </c>
      <c r="N752" s="11" t="str">
        <f>Base_CRM[[#This Row],[Cidade]]&amp;"/"&amp;Base_CRM[[#This Row],[Estado]]</f>
        <v>RIO DE JANEIRO/RJ</v>
      </c>
      <c r="O752" s="12">
        <f>IFERROR(IF(Base_CRM[[#This Row],[PL Tailor]]&gt;Base_CRM[[#This Row],[PL Declarado]],1,Base_CRM[[#This Row],[PL Tailor]]/Base_CRM[[#This Row],[PL Declarado]]),0)</f>
        <v>0</v>
      </c>
      <c r="P752" s="11" t="str">
        <f>IF(Base_CRM[[#This Row],[Estado Civil]]="","PESSOA JURÍDICA","PESSOA FÍSICA")</f>
        <v>PESSOA JURÍDICA</v>
      </c>
      <c r="Q752" t="str">
        <f>_xlfn.XLOOKUP(Base_CRM[[#This Row],[Cód do Cliente]],'[1]F &amp; O'!$A:$A,'[1]F &amp; O'!$F:$F,_xlfn.XLOOKUP(Base_CRM[[#This Row],[Assessor]],[1]DePara!$A:$A,[1]DePara!$D:$D,"Outros",0,1),0,1)</f>
        <v>Raphael Pereira</v>
      </c>
      <c r="R752" s="11" t="str">
        <f>_xlfn.XLOOKUP(Base_CRM[[#This Row],[Cód do Cliente]],'[1]F &amp; O'!$A:$A,'[1]F &amp; O'!D:D,"Sem Finder",0,1)</f>
        <v>Sem Finder</v>
      </c>
      <c r="S752" s="11" t="str">
        <f>_xlfn.XLOOKUP(Base_CRM[[#This Row],[Cód do Cliente]],'[1]F &amp; O'!$A:$A,'[1]F &amp; O'!E:E,"Sem Canal",0,1)</f>
        <v>Sem Canal</v>
      </c>
      <c r="T752" s="11" t="str">
        <f t="shared" si="11"/>
        <v>Cliente XP</v>
      </c>
    </row>
    <row r="753" spans="1:20" x14ac:dyDescent="0.3">
      <c r="A753">
        <v>19093079</v>
      </c>
      <c r="B753" s="8" t="s">
        <v>1696</v>
      </c>
      <c r="C753" s="9" t="s">
        <v>39</v>
      </c>
      <c r="D753" s="8">
        <v>11793.31</v>
      </c>
      <c r="F753" t="s">
        <v>92</v>
      </c>
      <c r="G753" t="s">
        <v>1386</v>
      </c>
      <c r="H753" s="10"/>
      <c r="I753" s="10" t="s">
        <v>285</v>
      </c>
      <c r="J753" t="s">
        <v>1399</v>
      </c>
      <c r="L753" t="s">
        <v>1697</v>
      </c>
      <c r="N753" s="11" t="str">
        <f>Base_CRM[[#This Row],[Cidade]]&amp;"/"&amp;Base_CRM[[#This Row],[Estado]]</f>
        <v>SANTANA DE PARNAIBA/SP</v>
      </c>
      <c r="O753" s="12">
        <f>IFERROR(IF(Base_CRM[[#This Row],[PL Tailor]]&gt;Base_CRM[[#This Row],[PL Declarado]],1,Base_CRM[[#This Row],[PL Tailor]]/Base_CRM[[#This Row],[PL Declarado]]),0)</f>
        <v>1</v>
      </c>
      <c r="P753" s="11" t="str">
        <f>IF(Base_CRM[[#This Row],[Estado Civil]]="","PESSOA JURÍDICA","PESSOA FÍSICA")</f>
        <v>PESSOA JURÍDICA</v>
      </c>
      <c r="Q753" t="str">
        <f>_xlfn.XLOOKUP(Base_CRM[[#This Row],[Cód do Cliente]],'[1]F &amp; O'!$A:$A,'[1]F &amp; O'!$F:$F,_xlfn.XLOOKUP(Base_CRM[[#This Row],[Assessor]],[1]DePara!$A:$A,[1]DePara!$D:$D,"Outros",0,1),0,1)</f>
        <v>Vinicius Bendela</v>
      </c>
      <c r="R753" s="11" t="str">
        <f>_xlfn.XLOOKUP(Base_CRM[[#This Row],[Cód do Cliente]],'[1]F &amp; O'!$A:$A,'[1]F &amp; O'!D:D,"Sem Finder",0,1)</f>
        <v>Sem Finder</v>
      </c>
      <c r="S753" s="11" t="str">
        <f>_xlfn.XLOOKUP(Base_CRM[[#This Row],[Cód do Cliente]],'[1]F &amp; O'!$A:$A,'[1]F &amp; O'!E:E,"Sem Canal",0,1)</f>
        <v>Sem Canal</v>
      </c>
      <c r="T753" s="11" t="str">
        <f t="shared" si="11"/>
        <v>Cliente XP</v>
      </c>
    </row>
    <row r="754" spans="1:20" x14ac:dyDescent="0.3">
      <c r="A754">
        <v>14895450</v>
      </c>
      <c r="B754" s="8" t="s">
        <v>1698</v>
      </c>
      <c r="C754" s="9" t="s">
        <v>103</v>
      </c>
      <c r="D754" s="8">
        <v>0.81</v>
      </c>
      <c r="F754" t="s">
        <v>22</v>
      </c>
      <c r="G754" t="s">
        <v>1446</v>
      </c>
      <c r="H754" s="10"/>
      <c r="I754" s="10" t="s">
        <v>1699</v>
      </c>
      <c r="J754" t="s">
        <v>1387</v>
      </c>
      <c r="L754" t="s">
        <v>1700</v>
      </c>
      <c r="N754" s="11" t="str">
        <f>Base_CRM[[#This Row],[Cidade]]&amp;"/"&amp;Base_CRM[[#This Row],[Estado]]</f>
        <v>VOLTA REDONDA/RJ</v>
      </c>
      <c r="O754" s="12">
        <f>IFERROR(IF(Base_CRM[[#This Row],[PL Tailor]]&gt;Base_CRM[[#This Row],[PL Declarado]],1,Base_CRM[[#This Row],[PL Tailor]]/Base_CRM[[#This Row],[PL Declarado]]),0)</f>
        <v>1</v>
      </c>
      <c r="P754" s="11" t="str">
        <f>IF(Base_CRM[[#This Row],[Estado Civil]]="","PESSOA JURÍDICA","PESSOA FÍSICA")</f>
        <v>PESSOA JURÍDICA</v>
      </c>
      <c r="Q754" t="str">
        <f>_xlfn.XLOOKUP(Base_CRM[[#This Row],[Cód do Cliente]],'[1]F &amp; O'!$A:$A,'[1]F &amp; O'!$F:$F,_xlfn.XLOOKUP(Base_CRM[[#This Row],[Assessor]],[1]DePara!$A:$A,[1]DePara!$D:$D,"Outros",0,1),0,1)</f>
        <v>Raphael Pereira</v>
      </c>
      <c r="R754" s="11" t="str">
        <f>_xlfn.XLOOKUP(Base_CRM[[#This Row],[Cód do Cliente]],'[1]F &amp; O'!$A:$A,'[1]F &amp; O'!D:D,"Sem Finder",0,1)</f>
        <v>Sem Finder</v>
      </c>
      <c r="S754" s="11" t="str">
        <f>_xlfn.XLOOKUP(Base_CRM[[#This Row],[Cód do Cliente]],'[1]F &amp; O'!$A:$A,'[1]F &amp; O'!E:E,"Sem Canal",0,1)</f>
        <v>Sem Canal</v>
      </c>
      <c r="T754" s="11" t="str">
        <f t="shared" si="11"/>
        <v>Cliente XP</v>
      </c>
    </row>
    <row r="755" spans="1:20" x14ac:dyDescent="0.3">
      <c r="A755">
        <v>18304091</v>
      </c>
      <c r="B755" s="8" t="s">
        <v>1701</v>
      </c>
      <c r="C755" s="9" t="s">
        <v>74</v>
      </c>
      <c r="D755" s="8">
        <v>0</v>
      </c>
      <c r="F755" t="s">
        <v>22</v>
      </c>
      <c r="G755" t="s">
        <v>1390</v>
      </c>
      <c r="H755" s="10"/>
      <c r="I755" s="10" t="s">
        <v>62</v>
      </c>
      <c r="J755" t="s">
        <v>1387</v>
      </c>
      <c r="L755" t="s">
        <v>1702</v>
      </c>
      <c r="N755" s="11" t="str">
        <f>Base_CRM[[#This Row],[Cidade]]&amp;"/"&amp;Base_CRM[[#This Row],[Estado]]</f>
        <v>Rio de Janeiro/RJ</v>
      </c>
      <c r="O755" s="12">
        <f>IFERROR(IF(Base_CRM[[#This Row],[PL Tailor]]&gt;Base_CRM[[#This Row],[PL Declarado]],1,Base_CRM[[#This Row],[PL Tailor]]/Base_CRM[[#This Row],[PL Declarado]]),0)</f>
        <v>0</v>
      </c>
      <c r="P755" s="11" t="str">
        <f>IF(Base_CRM[[#This Row],[Estado Civil]]="","PESSOA JURÍDICA","PESSOA FÍSICA")</f>
        <v>PESSOA JURÍDICA</v>
      </c>
      <c r="Q755" t="str">
        <f>_xlfn.XLOOKUP(Base_CRM[[#This Row],[Cód do Cliente]],'[1]F &amp; O'!$A:$A,'[1]F &amp; O'!$F:$F,_xlfn.XLOOKUP(Base_CRM[[#This Row],[Assessor]],[1]DePara!$A:$A,[1]DePara!$D:$D,"Outros",0,1),0,1)</f>
        <v>Thayane Freitas</v>
      </c>
      <c r="R755" s="11" t="str">
        <f>_xlfn.XLOOKUP(Base_CRM[[#This Row],[Cód do Cliente]],'[1]F &amp; O'!$A:$A,'[1]F &amp; O'!D:D,"Sem Finder",0,1)</f>
        <v>Sem Finder</v>
      </c>
      <c r="S755" s="11" t="str">
        <f>_xlfn.XLOOKUP(Base_CRM[[#This Row],[Cód do Cliente]],'[1]F &amp; O'!$A:$A,'[1]F &amp; O'!E:E,"Sem Canal",0,1)</f>
        <v>Sem Canal</v>
      </c>
      <c r="T755" s="11" t="str">
        <f t="shared" si="11"/>
        <v>Cliente XP</v>
      </c>
    </row>
    <row r="756" spans="1:20" x14ac:dyDescent="0.3">
      <c r="A756">
        <v>2489178</v>
      </c>
      <c r="B756" s="8" t="s">
        <v>1701</v>
      </c>
      <c r="C756" s="9" t="s">
        <v>74</v>
      </c>
      <c r="D756" s="8">
        <v>0</v>
      </c>
      <c r="F756" t="s">
        <v>22</v>
      </c>
      <c r="G756" t="s">
        <v>1390</v>
      </c>
      <c r="H756" s="10"/>
      <c r="I756" s="10" t="s">
        <v>62</v>
      </c>
      <c r="J756" t="s">
        <v>1387</v>
      </c>
      <c r="L756" t="s">
        <v>1702</v>
      </c>
      <c r="N756" s="11" t="str">
        <f>Base_CRM[[#This Row],[Cidade]]&amp;"/"&amp;Base_CRM[[#This Row],[Estado]]</f>
        <v>Rio de Janeiro/RJ</v>
      </c>
      <c r="O756" s="12">
        <f>IFERROR(IF(Base_CRM[[#This Row],[PL Tailor]]&gt;Base_CRM[[#This Row],[PL Declarado]],1,Base_CRM[[#This Row],[PL Tailor]]/Base_CRM[[#This Row],[PL Declarado]]),0)</f>
        <v>0</v>
      </c>
      <c r="P756" s="11" t="str">
        <f>IF(Base_CRM[[#This Row],[Estado Civil]]="","PESSOA JURÍDICA","PESSOA FÍSICA")</f>
        <v>PESSOA JURÍDICA</v>
      </c>
      <c r="Q756" t="str">
        <f>_xlfn.XLOOKUP(Base_CRM[[#This Row],[Cód do Cliente]],'[1]F &amp; O'!$A:$A,'[1]F &amp; O'!$F:$F,_xlfn.XLOOKUP(Base_CRM[[#This Row],[Assessor]],[1]DePara!$A:$A,[1]DePara!$D:$D,"Outros",0,1),0,1)</f>
        <v>Thayane Freitas</v>
      </c>
      <c r="R756" s="11" t="str">
        <f>_xlfn.XLOOKUP(Base_CRM[[#This Row],[Cód do Cliente]],'[1]F &amp; O'!$A:$A,'[1]F &amp; O'!D:D,"Sem Finder",0,1)</f>
        <v>Sem Finder</v>
      </c>
      <c r="S756" s="11" t="str">
        <f>_xlfn.XLOOKUP(Base_CRM[[#This Row],[Cód do Cliente]],'[1]F &amp; O'!$A:$A,'[1]F &amp; O'!E:E,"Sem Canal",0,1)</f>
        <v>Sem Canal</v>
      </c>
      <c r="T756" s="11" t="str">
        <f t="shared" si="11"/>
        <v>Cliente XP</v>
      </c>
    </row>
    <row r="757" spans="1:20" x14ac:dyDescent="0.3">
      <c r="A757">
        <v>16381736</v>
      </c>
      <c r="B757" s="8" t="s">
        <v>1703</v>
      </c>
      <c r="C757" s="9" t="s">
        <v>74</v>
      </c>
      <c r="D757" s="8">
        <v>0</v>
      </c>
      <c r="G757" t="s">
        <v>1382</v>
      </c>
      <c r="H757" s="10"/>
      <c r="I757" s="10" t="s">
        <v>31</v>
      </c>
      <c r="J757" t="s">
        <v>1399</v>
      </c>
      <c r="L757" t="s">
        <v>1704</v>
      </c>
      <c r="M757" t="s">
        <v>64</v>
      </c>
      <c r="N757" s="11" t="str">
        <f>Base_CRM[[#This Row],[Cidade]]&amp;"/"&amp;Base_CRM[[#This Row],[Estado]]</f>
        <v>SAO PAULO/SP</v>
      </c>
      <c r="O757" s="12">
        <f>IFERROR(IF(Base_CRM[[#This Row],[PL Tailor]]&gt;Base_CRM[[#This Row],[PL Declarado]],1,Base_CRM[[#This Row],[PL Tailor]]/Base_CRM[[#This Row],[PL Declarado]]),0)</f>
        <v>0</v>
      </c>
      <c r="P757" s="11" t="str">
        <f>IF(Base_CRM[[#This Row],[Estado Civil]]="","PESSOA JURÍDICA","PESSOA FÍSICA")</f>
        <v>PESSOA JURÍDICA</v>
      </c>
      <c r="Q757" t="str">
        <f>_xlfn.XLOOKUP(Base_CRM[[#This Row],[Cód do Cliente]],'[1]F &amp; O'!$A:$A,'[1]F &amp; O'!$F:$F,_xlfn.XLOOKUP(Base_CRM[[#This Row],[Assessor]],[1]DePara!$A:$A,[1]DePara!$D:$D,"Outros",0,1),0,1)</f>
        <v>Thayane Freitas</v>
      </c>
      <c r="R757" s="11" t="str">
        <f>_xlfn.XLOOKUP(Base_CRM[[#This Row],[Cód do Cliente]],'[1]F &amp; O'!$A:$A,'[1]F &amp; O'!D:D,"Sem Finder",0,1)</f>
        <v>Sem Finder</v>
      </c>
      <c r="S757" s="11" t="str">
        <f>_xlfn.XLOOKUP(Base_CRM[[#This Row],[Cód do Cliente]],'[1]F &amp; O'!$A:$A,'[1]F &amp; O'!E:E,"Sem Canal",0,1)</f>
        <v>Sem Canal</v>
      </c>
      <c r="T757" s="11" t="str">
        <f t="shared" si="11"/>
        <v>Cliente XP</v>
      </c>
    </row>
    <row r="758" spans="1:20" x14ac:dyDescent="0.3">
      <c r="A758">
        <v>19081059</v>
      </c>
      <c r="B758" s="8" t="s">
        <v>1705</v>
      </c>
      <c r="C758" s="9" t="s">
        <v>21</v>
      </c>
      <c r="D758" s="8">
        <v>4416857.54</v>
      </c>
      <c r="F758" t="s">
        <v>29</v>
      </c>
      <c r="G758" t="s">
        <v>1390</v>
      </c>
      <c r="H758" s="10"/>
      <c r="I758" s="10" t="s">
        <v>24</v>
      </c>
      <c r="J758" t="s">
        <v>1387</v>
      </c>
      <c r="L758" t="s">
        <v>1706</v>
      </c>
      <c r="N758" s="11" t="str">
        <f>Base_CRM[[#This Row],[Cidade]]&amp;"/"&amp;Base_CRM[[#This Row],[Estado]]</f>
        <v>RIO DE JANEIRO/RJ</v>
      </c>
      <c r="O758" s="12">
        <f>IFERROR(IF(Base_CRM[[#This Row],[PL Tailor]]&gt;Base_CRM[[#This Row],[PL Declarado]],1,Base_CRM[[#This Row],[PL Tailor]]/Base_CRM[[#This Row],[PL Declarado]]),0)</f>
        <v>1</v>
      </c>
      <c r="P758" s="11" t="str">
        <f>IF(Base_CRM[[#This Row],[Estado Civil]]="","PESSOA JURÍDICA","PESSOA FÍSICA")</f>
        <v>PESSOA JURÍDICA</v>
      </c>
      <c r="Q758" t="str">
        <f>_xlfn.XLOOKUP(Base_CRM[[#This Row],[Cód do Cliente]],'[1]F &amp; O'!$A:$A,'[1]F &amp; O'!$F:$F,_xlfn.XLOOKUP(Base_CRM[[#This Row],[Assessor]],[1]DePara!$A:$A,[1]DePara!$D:$D,"Outros",0,1),0,1)</f>
        <v>Leonardo Burle</v>
      </c>
      <c r="R758" s="11" t="str">
        <f>_xlfn.XLOOKUP(Base_CRM[[#This Row],[Cód do Cliente]],'[1]F &amp; O'!$A:$A,'[1]F &amp; O'!D:D,"Sem Finder",0,1)</f>
        <v>Sem Finder</v>
      </c>
      <c r="S758" s="11" t="str">
        <f>_xlfn.XLOOKUP(Base_CRM[[#This Row],[Cód do Cliente]],'[1]F &amp; O'!$A:$A,'[1]F &amp; O'!E:E,"Sem Canal",0,1)</f>
        <v>Sem Canal</v>
      </c>
      <c r="T758" s="11" t="str">
        <f t="shared" si="11"/>
        <v>Cliente XP</v>
      </c>
    </row>
    <row r="759" spans="1:20" x14ac:dyDescent="0.3">
      <c r="A759">
        <v>18181840</v>
      </c>
      <c r="B759" s="8" t="s">
        <v>1707</v>
      </c>
      <c r="C759" s="9" t="s">
        <v>21</v>
      </c>
      <c r="D759" s="8">
        <v>0</v>
      </c>
      <c r="G759" t="s">
        <v>1395</v>
      </c>
      <c r="H759" s="10"/>
      <c r="I759" s="10" t="s">
        <v>31</v>
      </c>
      <c r="J759" t="s">
        <v>1399</v>
      </c>
      <c r="L759" t="s">
        <v>1708</v>
      </c>
      <c r="N759" s="11" t="str">
        <f>Base_CRM[[#This Row],[Cidade]]&amp;"/"&amp;Base_CRM[[#This Row],[Estado]]</f>
        <v>SAO PAULO/SP</v>
      </c>
      <c r="O759" s="12">
        <f>IFERROR(IF(Base_CRM[[#This Row],[PL Tailor]]&gt;Base_CRM[[#This Row],[PL Declarado]],1,Base_CRM[[#This Row],[PL Tailor]]/Base_CRM[[#This Row],[PL Declarado]]),0)</f>
        <v>0</v>
      </c>
      <c r="P759" s="11" t="str">
        <f>IF(Base_CRM[[#This Row],[Estado Civil]]="","PESSOA JURÍDICA","PESSOA FÍSICA")</f>
        <v>PESSOA JURÍDICA</v>
      </c>
      <c r="Q759" t="str">
        <f>_xlfn.XLOOKUP(Base_CRM[[#This Row],[Cód do Cliente]],'[1]F &amp; O'!$A:$A,'[1]F &amp; O'!$F:$F,_xlfn.XLOOKUP(Base_CRM[[#This Row],[Assessor]],[1]DePara!$A:$A,[1]DePara!$D:$D,"Outros",0,1),0,1)</f>
        <v>Leonardo Burle</v>
      </c>
      <c r="R759" s="11" t="str">
        <f>_xlfn.XLOOKUP(Base_CRM[[#This Row],[Cód do Cliente]],'[1]F &amp; O'!$A:$A,'[1]F &amp; O'!D:D,"Sem Finder",0,1)</f>
        <v>Sem Finder</v>
      </c>
      <c r="S759" s="11" t="str">
        <f>_xlfn.XLOOKUP(Base_CRM[[#This Row],[Cód do Cliente]],'[1]F &amp; O'!$A:$A,'[1]F &amp; O'!E:E,"Sem Canal",0,1)</f>
        <v>Sem Canal</v>
      </c>
      <c r="T759" s="11" t="str">
        <f t="shared" si="11"/>
        <v>Cliente XP</v>
      </c>
    </row>
    <row r="760" spans="1:20" x14ac:dyDescent="0.3">
      <c r="A760">
        <v>12925323</v>
      </c>
      <c r="B760" s="8" t="s">
        <v>1709</v>
      </c>
      <c r="C760" s="9" t="s">
        <v>66</v>
      </c>
      <c r="D760" s="8">
        <v>930187.07</v>
      </c>
      <c r="F760" t="s">
        <v>29</v>
      </c>
      <c r="G760" t="s">
        <v>1390</v>
      </c>
      <c r="H760" s="10"/>
      <c r="I760" s="10" t="s">
        <v>31</v>
      </c>
      <c r="J760" t="s">
        <v>1399</v>
      </c>
      <c r="L760" t="s">
        <v>1710</v>
      </c>
      <c r="N760" s="11" t="str">
        <f>Base_CRM[[#This Row],[Cidade]]&amp;"/"&amp;Base_CRM[[#This Row],[Estado]]</f>
        <v>SAO PAULO/SP</v>
      </c>
      <c r="O760" s="12">
        <f>IFERROR(IF(Base_CRM[[#This Row],[PL Tailor]]&gt;Base_CRM[[#This Row],[PL Declarado]],1,Base_CRM[[#This Row],[PL Tailor]]/Base_CRM[[#This Row],[PL Declarado]]),0)</f>
        <v>1</v>
      </c>
      <c r="P760" s="11" t="str">
        <f>IF(Base_CRM[[#This Row],[Estado Civil]]="","PESSOA JURÍDICA","PESSOA FÍSICA")</f>
        <v>PESSOA JURÍDICA</v>
      </c>
      <c r="Q760" t="str">
        <f>_xlfn.XLOOKUP(Base_CRM[[#This Row],[Cód do Cliente]],'[1]F &amp; O'!$A:$A,'[1]F &amp; O'!$F:$F,_xlfn.XLOOKUP(Base_CRM[[#This Row],[Assessor]],[1]DePara!$A:$A,[1]DePara!$D:$D,"Outros",0,1),0,1)</f>
        <v>Caroline Vlavianos</v>
      </c>
      <c r="R760" s="11" t="str">
        <f>_xlfn.XLOOKUP(Base_CRM[[#This Row],[Cód do Cliente]],'[1]F &amp; O'!$A:$A,'[1]F &amp; O'!D:D,"Sem Finder",0,1)</f>
        <v>Sem Finder</v>
      </c>
      <c r="S760" s="11" t="str">
        <f>_xlfn.XLOOKUP(Base_CRM[[#This Row],[Cód do Cliente]],'[1]F &amp; O'!$A:$A,'[1]F &amp; O'!E:E,"Sem Canal",0,1)</f>
        <v>Sem Canal</v>
      </c>
      <c r="T760" s="11" t="str">
        <f t="shared" si="11"/>
        <v>Cliente XP</v>
      </c>
    </row>
    <row r="761" spans="1:20" x14ac:dyDescent="0.3">
      <c r="A761">
        <v>15858949</v>
      </c>
      <c r="B761" s="8" t="s">
        <v>1711</v>
      </c>
      <c r="C761" s="9" t="s">
        <v>74</v>
      </c>
      <c r="D761" s="8">
        <v>0</v>
      </c>
      <c r="F761" t="s">
        <v>40</v>
      </c>
      <c r="G761" t="s">
        <v>1390</v>
      </c>
      <c r="H761" s="10"/>
      <c r="I761" s="10" t="s">
        <v>31</v>
      </c>
      <c r="J761" t="s">
        <v>1399</v>
      </c>
      <c r="L761" t="s">
        <v>1712</v>
      </c>
      <c r="N761" s="11" t="str">
        <f>Base_CRM[[#This Row],[Cidade]]&amp;"/"&amp;Base_CRM[[#This Row],[Estado]]</f>
        <v>SAO PAULO/SP</v>
      </c>
      <c r="O761" s="12">
        <f>IFERROR(IF(Base_CRM[[#This Row],[PL Tailor]]&gt;Base_CRM[[#This Row],[PL Declarado]],1,Base_CRM[[#This Row],[PL Tailor]]/Base_CRM[[#This Row],[PL Declarado]]),0)</f>
        <v>0</v>
      </c>
      <c r="P761" s="11" t="str">
        <f>IF(Base_CRM[[#This Row],[Estado Civil]]="","PESSOA JURÍDICA","PESSOA FÍSICA")</f>
        <v>PESSOA JURÍDICA</v>
      </c>
      <c r="Q761" t="str">
        <f>_xlfn.XLOOKUP(Base_CRM[[#This Row],[Cód do Cliente]],'[1]F &amp; O'!$A:$A,'[1]F &amp; O'!$F:$F,_xlfn.XLOOKUP(Base_CRM[[#This Row],[Assessor]],[1]DePara!$A:$A,[1]DePara!$D:$D,"Outros",0,1),0,1)</f>
        <v>Thayane Freitas</v>
      </c>
      <c r="R761" s="11" t="str">
        <f>_xlfn.XLOOKUP(Base_CRM[[#This Row],[Cód do Cliente]],'[1]F &amp; O'!$A:$A,'[1]F &amp; O'!D:D,"Sem Finder",0,1)</f>
        <v>Sem Finder</v>
      </c>
      <c r="S761" s="11" t="str">
        <f>_xlfn.XLOOKUP(Base_CRM[[#This Row],[Cód do Cliente]],'[1]F &amp; O'!$A:$A,'[1]F &amp; O'!E:E,"Sem Canal",0,1)</f>
        <v>Sem Canal</v>
      </c>
      <c r="T761" s="11" t="str">
        <f t="shared" si="11"/>
        <v>Cliente XP</v>
      </c>
    </row>
    <row r="762" spans="1:20" x14ac:dyDescent="0.3">
      <c r="A762">
        <v>14324858</v>
      </c>
      <c r="B762" s="8" t="s">
        <v>1713</v>
      </c>
      <c r="C762" s="9" t="s">
        <v>21</v>
      </c>
      <c r="D762" s="8">
        <v>126747.64</v>
      </c>
      <c r="F762" t="s">
        <v>29</v>
      </c>
      <c r="G762" t="s">
        <v>1386</v>
      </c>
      <c r="H762" s="10"/>
      <c r="I762" s="10" t="s">
        <v>24</v>
      </c>
      <c r="J762" t="s">
        <v>1387</v>
      </c>
      <c r="L762" t="s">
        <v>1714</v>
      </c>
      <c r="N762" s="11" t="str">
        <f>Base_CRM[[#This Row],[Cidade]]&amp;"/"&amp;Base_CRM[[#This Row],[Estado]]</f>
        <v>RIO DE JANEIRO/RJ</v>
      </c>
      <c r="O762" s="12">
        <f>IFERROR(IF(Base_CRM[[#This Row],[PL Tailor]]&gt;Base_CRM[[#This Row],[PL Declarado]],1,Base_CRM[[#This Row],[PL Tailor]]/Base_CRM[[#This Row],[PL Declarado]]),0)</f>
        <v>1</v>
      </c>
      <c r="P762" s="11" t="str">
        <f>IF(Base_CRM[[#This Row],[Estado Civil]]="","PESSOA JURÍDICA","PESSOA FÍSICA")</f>
        <v>PESSOA JURÍDICA</v>
      </c>
      <c r="Q762" t="str">
        <f>_xlfn.XLOOKUP(Base_CRM[[#This Row],[Cód do Cliente]],'[1]F &amp; O'!$A:$A,'[1]F &amp; O'!$F:$F,_xlfn.XLOOKUP(Base_CRM[[#This Row],[Assessor]],[1]DePara!$A:$A,[1]DePara!$D:$D,"Outros",0,1),0,1)</f>
        <v>Leonardo Burle</v>
      </c>
      <c r="R762" s="11" t="str">
        <f>_xlfn.XLOOKUP(Base_CRM[[#This Row],[Cód do Cliente]],'[1]F &amp; O'!$A:$A,'[1]F &amp; O'!D:D,"Sem Finder",0,1)</f>
        <v>Sem Finder</v>
      </c>
      <c r="S762" s="11" t="str">
        <f>_xlfn.XLOOKUP(Base_CRM[[#This Row],[Cód do Cliente]],'[1]F &amp; O'!$A:$A,'[1]F &amp; O'!E:E,"Sem Canal",0,1)</f>
        <v>Sem Canal</v>
      </c>
      <c r="T762" s="11" t="str">
        <f t="shared" si="11"/>
        <v>Cliente XP</v>
      </c>
    </row>
    <row r="763" spans="1:20" x14ac:dyDescent="0.3">
      <c r="A763">
        <v>18620365</v>
      </c>
      <c r="B763" s="8" t="s">
        <v>1715</v>
      </c>
      <c r="C763" s="9" t="s">
        <v>48</v>
      </c>
      <c r="D763" s="8">
        <v>0</v>
      </c>
      <c r="F763" t="s">
        <v>22</v>
      </c>
      <c r="G763" t="s">
        <v>1395</v>
      </c>
      <c r="H763" s="10"/>
      <c r="I763" s="10" t="s">
        <v>24</v>
      </c>
      <c r="J763" t="s">
        <v>1387</v>
      </c>
      <c r="L763" t="s">
        <v>1716</v>
      </c>
      <c r="N763" s="11" t="str">
        <f>Base_CRM[[#This Row],[Cidade]]&amp;"/"&amp;Base_CRM[[#This Row],[Estado]]</f>
        <v>RIO DE JANEIRO/RJ</v>
      </c>
      <c r="O763" s="12">
        <f>IFERROR(IF(Base_CRM[[#This Row],[PL Tailor]]&gt;Base_CRM[[#This Row],[PL Declarado]],1,Base_CRM[[#This Row],[PL Tailor]]/Base_CRM[[#This Row],[PL Declarado]]),0)</f>
        <v>0</v>
      </c>
      <c r="P763" s="11" t="str">
        <f>IF(Base_CRM[[#This Row],[Estado Civil]]="","PESSOA JURÍDICA","PESSOA FÍSICA")</f>
        <v>PESSOA JURÍDICA</v>
      </c>
      <c r="Q763" t="str">
        <f>_xlfn.XLOOKUP(Base_CRM[[#This Row],[Cód do Cliente]],'[1]F &amp; O'!$A:$A,'[1]F &amp; O'!$F:$F,_xlfn.XLOOKUP(Base_CRM[[#This Row],[Assessor]],[1]DePara!$A:$A,[1]DePara!$D:$D,"Outros",0,1),0,1)</f>
        <v>Raphael Farias</v>
      </c>
      <c r="R763" s="11" t="str">
        <f>_xlfn.XLOOKUP(Base_CRM[[#This Row],[Cód do Cliente]],'[1]F &amp; O'!$A:$A,'[1]F &amp; O'!D:D,"Sem Finder",0,1)</f>
        <v>Sem Finder</v>
      </c>
      <c r="S763" s="11" t="str">
        <f>_xlfn.XLOOKUP(Base_CRM[[#This Row],[Cód do Cliente]],'[1]F &amp; O'!$A:$A,'[1]F &amp; O'!E:E,"Sem Canal",0,1)</f>
        <v>Sem Canal</v>
      </c>
      <c r="T763" s="11" t="str">
        <f t="shared" si="11"/>
        <v>Cliente XP</v>
      </c>
    </row>
    <row r="764" spans="1:20" x14ac:dyDescent="0.3">
      <c r="A764">
        <v>18950954</v>
      </c>
      <c r="B764" s="8" t="s">
        <v>1717</v>
      </c>
      <c r="C764" s="9" t="s">
        <v>21</v>
      </c>
      <c r="D764" s="8">
        <v>0</v>
      </c>
      <c r="G764" t="s">
        <v>1390</v>
      </c>
      <c r="H764" s="10"/>
      <c r="I764" s="10" t="s">
        <v>189</v>
      </c>
      <c r="J764" t="s">
        <v>1399</v>
      </c>
      <c r="L764" t="s">
        <v>1718</v>
      </c>
      <c r="N764" s="11" t="str">
        <f>Base_CRM[[#This Row],[Cidade]]&amp;"/"&amp;Base_CRM[[#This Row],[Estado]]</f>
        <v>SOROCABA/SP</v>
      </c>
      <c r="O764" s="12">
        <f>IFERROR(IF(Base_CRM[[#This Row],[PL Tailor]]&gt;Base_CRM[[#This Row],[PL Declarado]],1,Base_CRM[[#This Row],[PL Tailor]]/Base_CRM[[#This Row],[PL Declarado]]),0)</f>
        <v>0</v>
      </c>
      <c r="P764" s="11" t="str">
        <f>IF(Base_CRM[[#This Row],[Estado Civil]]="","PESSOA JURÍDICA","PESSOA FÍSICA")</f>
        <v>PESSOA JURÍDICA</v>
      </c>
      <c r="Q764" t="str">
        <f>_xlfn.XLOOKUP(Base_CRM[[#This Row],[Cód do Cliente]],'[1]F &amp; O'!$A:$A,'[1]F &amp; O'!$F:$F,_xlfn.XLOOKUP(Base_CRM[[#This Row],[Assessor]],[1]DePara!$A:$A,[1]DePara!$D:$D,"Outros",0,1),0,1)</f>
        <v>Leonardo Burle</v>
      </c>
      <c r="R764" s="11" t="str">
        <f>_xlfn.XLOOKUP(Base_CRM[[#This Row],[Cód do Cliente]],'[1]F &amp; O'!$A:$A,'[1]F &amp; O'!D:D,"Sem Finder",0,1)</f>
        <v>Sem Finder</v>
      </c>
      <c r="S764" s="11" t="str">
        <f>_xlfn.XLOOKUP(Base_CRM[[#This Row],[Cód do Cliente]],'[1]F &amp; O'!$A:$A,'[1]F &amp; O'!E:E,"Sem Canal",0,1)</f>
        <v>Sem Canal</v>
      </c>
      <c r="T764" s="11" t="str">
        <f t="shared" si="11"/>
        <v>Cliente XP</v>
      </c>
    </row>
    <row r="765" spans="1:20" x14ac:dyDescent="0.3">
      <c r="A765">
        <v>13253860</v>
      </c>
      <c r="B765" s="8" t="s">
        <v>1719</v>
      </c>
      <c r="C765" s="9" t="s">
        <v>21</v>
      </c>
      <c r="D765" s="8">
        <v>0</v>
      </c>
      <c r="F765" t="s">
        <v>29</v>
      </c>
      <c r="G765" t="s">
        <v>1428</v>
      </c>
      <c r="H765" s="10"/>
      <c r="I765" s="10" t="s">
        <v>84</v>
      </c>
      <c r="J765" t="s">
        <v>1387</v>
      </c>
      <c r="L765" t="s">
        <v>1720</v>
      </c>
      <c r="N765" s="11" t="str">
        <f>Base_CRM[[#This Row],[Cidade]]&amp;"/"&amp;Base_CRM[[#This Row],[Estado]]</f>
        <v>NITEROI/RJ</v>
      </c>
      <c r="O765" s="12">
        <f>IFERROR(IF(Base_CRM[[#This Row],[PL Tailor]]&gt;Base_CRM[[#This Row],[PL Declarado]],1,Base_CRM[[#This Row],[PL Tailor]]/Base_CRM[[#This Row],[PL Declarado]]),0)</f>
        <v>0</v>
      </c>
      <c r="P765" s="11" t="str">
        <f>IF(Base_CRM[[#This Row],[Estado Civil]]="","PESSOA JURÍDICA","PESSOA FÍSICA")</f>
        <v>PESSOA JURÍDICA</v>
      </c>
      <c r="Q765" t="str">
        <f>_xlfn.XLOOKUP(Base_CRM[[#This Row],[Cód do Cliente]],'[1]F &amp; O'!$A:$A,'[1]F &amp; O'!$F:$F,_xlfn.XLOOKUP(Base_CRM[[#This Row],[Assessor]],[1]DePara!$A:$A,[1]DePara!$D:$D,"Outros",0,1),0,1)</f>
        <v>Leonardo Burle</v>
      </c>
      <c r="R765" s="11" t="str">
        <f>_xlfn.XLOOKUP(Base_CRM[[#This Row],[Cód do Cliente]],'[1]F &amp; O'!$A:$A,'[1]F &amp; O'!D:D,"Sem Finder",0,1)</f>
        <v>Sem Finder</v>
      </c>
      <c r="S765" s="11" t="str">
        <f>_xlfn.XLOOKUP(Base_CRM[[#This Row],[Cód do Cliente]],'[1]F &amp; O'!$A:$A,'[1]F &amp; O'!E:E,"Sem Canal",0,1)</f>
        <v>Sem Canal</v>
      </c>
      <c r="T765" s="11" t="str">
        <f t="shared" si="11"/>
        <v>Cliente XP</v>
      </c>
    </row>
    <row r="766" spans="1:20" x14ac:dyDescent="0.3">
      <c r="A766">
        <v>15197260</v>
      </c>
      <c r="B766" s="8" t="s">
        <v>1721</v>
      </c>
      <c r="C766" s="9" t="s">
        <v>74</v>
      </c>
      <c r="D766" s="8">
        <v>0</v>
      </c>
      <c r="F766" t="s">
        <v>40</v>
      </c>
      <c r="G766" t="s">
        <v>1390</v>
      </c>
      <c r="H766" s="10"/>
      <c r="I766" s="10" t="s">
        <v>1530</v>
      </c>
      <c r="J766" t="s">
        <v>1531</v>
      </c>
      <c r="L766" t="s">
        <v>1722</v>
      </c>
      <c r="N766" s="11" t="str">
        <f>Base_CRM[[#This Row],[Cidade]]&amp;"/"&amp;Base_CRM[[#This Row],[Estado]]</f>
        <v>BELO HORIZONTE/MG</v>
      </c>
      <c r="O766" s="12">
        <f>IFERROR(IF(Base_CRM[[#This Row],[PL Tailor]]&gt;Base_CRM[[#This Row],[PL Declarado]],1,Base_CRM[[#This Row],[PL Tailor]]/Base_CRM[[#This Row],[PL Declarado]]),0)</f>
        <v>0</v>
      </c>
      <c r="P766" s="11" t="str">
        <f>IF(Base_CRM[[#This Row],[Estado Civil]]="","PESSOA JURÍDICA","PESSOA FÍSICA")</f>
        <v>PESSOA JURÍDICA</v>
      </c>
      <c r="Q766" t="str">
        <f>_xlfn.XLOOKUP(Base_CRM[[#This Row],[Cód do Cliente]],'[1]F &amp; O'!$A:$A,'[1]F &amp; O'!$F:$F,_xlfn.XLOOKUP(Base_CRM[[#This Row],[Assessor]],[1]DePara!$A:$A,[1]DePara!$D:$D,"Outros",0,1),0,1)</f>
        <v>Thayane Freitas</v>
      </c>
      <c r="R766" s="11" t="str">
        <f>_xlfn.XLOOKUP(Base_CRM[[#This Row],[Cód do Cliente]],'[1]F &amp; O'!$A:$A,'[1]F &amp; O'!D:D,"Sem Finder",0,1)</f>
        <v>Sem Finder</v>
      </c>
      <c r="S766" s="11" t="str">
        <f>_xlfn.XLOOKUP(Base_CRM[[#This Row],[Cód do Cliente]],'[1]F &amp; O'!$A:$A,'[1]F &amp; O'!E:E,"Sem Canal",0,1)</f>
        <v>Sem Canal</v>
      </c>
      <c r="T766" s="11" t="str">
        <f t="shared" si="11"/>
        <v>Cliente XP</v>
      </c>
    </row>
    <row r="767" spans="1:20" x14ac:dyDescent="0.3">
      <c r="A767">
        <v>11749857</v>
      </c>
      <c r="B767" s="8" t="s">
        <v>1723</v>
      </c>
      <c r="C767" s="9" t="s">
        <v>21</v>
      </c>
      <c r="D767" s="8">
        <v>0</v>
      </c>
      <c r="F767" t="s">
        <v>40</v>
      </c>
      <c r="G767" t="s">
        <v>1475</v>
      </c>
      <c r="H767" s="10"/>
      <c r="I767" s="10" t="s">
        <v>24</v>
      </c>
      <c r="J767" t="s">
        <v>1387</v>
      </c>
      <c r="L767" t="s">
        <v>1724</v>
      </c>
      <c r="N767" s="11" t="str">
        <f>Base_CRM[[#This Row],[Cidade]]&amp;"/"&amp;Base_CRM[[#This Row],[Estado]]</f>
        <v>RIO DE JANEIRO/RJ</v>
      </c>
      <c r="O767" s="12">
        <f>IFERROR(IF(Base_CRM[[#This Row],[PL Tailor]]&gt;Base_CRM[[#This Row],[PL Declarado]],1,Base_CRM[[#This Row],[PL Tailor]]/Base_CRM[[#This Row],[PL Declarado]]),0)</f>
        <v>0</v>
      </c>
      <c r="P767" s="11" t="str">
        <f>IF(Base_CRM[[#This Row],[Estado Civil]]="","PESSOA JURÍDICA","PESSOA FÍSICA")</f>
        <v>PESSOA JURÍDICA</v>
      </c>
      <c r="Q767" t="str">
        <f>_xlfn.XLOOKUP(Base_CRM[[#This Row],[Cód do Cliente]],'[1]F &amp; O'!$A:$A,'[1]F &amp; O'!$F:$F,_xlfn.XLOOKUP(Base_CRM[[#This Row],[Assessor]],[1]DePara!$A:$A,[1]DePara!$D:$D,"Outros",0,1),0,1)</f>
        <v>Leonardo Burle</v>
      </c>
      <c r="R767" s="11" t="str">
        <f>_xlfn.XLOOKUP(Base_CRM[[#This Row],[Cód do Cliente]],'[1]F &amp; O'!$A:$A,'[1]F &amp; O'!D:D,"Sem Finder",0,1)</f>
        <v>Sem Finder</v>
      </c>
      <c r="S767" s="11" t="str">
        <f>_xlfn.XLOOKUP(Base_CRM[[#This Row],[Cód do Cliente]],'[1]F &amp; O'!$A:$A,'[1]F &amp; O'!E:E,"Sem Canal",0,1)</f>
        <v>Sem Canal</v>
      </c>
      <c r="T767" s="11" t="str">
        <f t="shared" si="11"/>
        <v>Cliente XP</v>
      </c>
    </row>
    <row r="768" spans="1:20" x14ac:dyDescent="0.3">
      <c r="A768">
        <v>15158269</v>
      </c>
      <c r="B768" s="8" t="s">
        <v>1725</v>
      </c>
      <c r="C768" s="9" t="s">
        <v>74</v>
      </c>
      <c r="D768" s="8">
        <v>0.01</v>
      </c>
      <c r="F768" t="s">
        <v>40</v>
      </c>
      <c r="G768" t="s">
        <v>1390</v>
      </c>
      <c r="H768" s="10"/>
      <c r="I768" s="10" t="s">
        <v>1726</v>
      </c>
      <c r="J768" t="s">
        <v>1387</v>
      </c>
      <c r="L768" t="s">
        <v>1727</v>
      </c>
      <c r="N768" s="11" t="str">
        <f>Base_CRM[[#This Row],[Cidade]]&amp;"/"&amp;Base_CRM[[#This Row],[Estado]]</f>
        <v>MARICA/RJ</v>
      </c>
      <c r="O768" s="12">
        <f>IFERROR(IF(Base_CRM[[#This Row],[PL Tailor]]&gt;Base_CRM[[#This Row],[PL Declarado]],1,Base_CRM[[#This Row],[PL Tailor]]/Base_CRM[[#This Row],[PL Declarado]]),0)</f>
        <v>1</v>
      </c>
      <c r="P768" s="11" t="str">
        <f>IF(Base_CRM[[#This Row],[Estado Civil]]="","PESSOA JURÍDICA","PESSOA FÍSICA")</f>
        <v>PESSOA JURÍDICA</v>
      </c>
      <c r="Q768" t="str">
        <f>_xlfn.XLOOKUP(Base_CRM[[#This Row],[Cód do Cliente]],'[1]F &amp; O'!$A:$A,'[1]F &amp; O'!$F:$F,_xlfn.XLOOKUP(Base_CRM[[#This Row],[Assessor]],[1]DePara!$A:$A,[1]DePara!$D:$D,"Outros",0,1),0,1)</f>
        <v>Thayane Freitas</v>
      </c>
      <c r="R768" s="11" t="str">
        <f>_xlfn.XLOOKUP(Base_CRM[[#This Row],[Cód do Cliente]],'[1]F &amp; O'!$A:$A,'[1]F &amp; O'!D:D,"Sem Finder",0,1)</f>
        <v>Sem Finder</v>
      </c>
      <c r="S768" s="11" t="str">
        <f>_xlfn.XLOOKUP(Base_CRM[[#This Row],[Cód do Cliente]],'[1]F &amp; O'!$A:$A,'[1]F &amp; O'!E:E,"Sem Canal",0,1)</f>
        <v>Sem Canal</v>
      </c>
      <c r="T768" s="11" t="str">
        <f t="shared" si="11"/>
        <v>Cliente XP</v>
      </c>
    </row>
    <row r="769" spans="1:20" x14ac:dyDescent="0.3">
      <c r="A769">
        <v>15151416</v>
      </c>
      <c r="B769" s="8" t="s">
        <v>1728</v>
      </c>
      <c r="C769" s="9" t="s">
        <v>74</v>
      </c>
      <c r="D769" s="8">
        <v>0</v>
      </c>
      <c r="F769" t="s">
        <v>40</v>
      </c>
      <c r="G769" t="s">
        <v>1446</v>
      </c>
      <c r="H769" s="10"/>
      <c r="I769" s="10" t="s">
        <v>130</v>
      </c>
      <c r="J769" t="s">
        <v>1643</v>
      </c>
      <c r="L769" t="s">
        <v>1729</v>
      </c>
      <c r="N769" s="11" t="str">
        <f>Base_CRM[[#This Row],[Cidade]]&amp;"/"&amp;Base_CRM[[#This Row],[Estado]]</f>
        <v>FLORIANOPOLIS/SC</v>
      </c>
      <c r="O769" s="12">
        <f>IFERROR(IF(Base_CRM[[#This Row],[PL Tailor]]&gt;Base_CRM[[#This Row],[PL Declarado]],1,Base_CRM[[#This Row],[PL Tailor]]/Base_CRM[[#This Row],[PL Declarado]]),0)</f>
        <v>0</v>
      </c>
      <c r="P769" s="11" t="str">
        <f>IF(Base_CRM[[#This Row],[Estado Civil]]="","PESSOA JURÍDICA","PESSOA FÍSICA")</f>
        <v>PESSOA JURÍDICA</v>
      </c>
      <c r="Q769" t="str">
        <f>_xlfn.XLOOKUP(Base_CRM[[#This Row],[Cód do Cliente]],'[1]F &amp; O'!$A:$A,'[1]F &amp; O'!$F:$F,_xlfn.XLOOKUP(Base_CRM[[#This Row],[Assessor]],[1]DePara!$A:$A,[1]DePara!$D:$D,"Outros",0,1),0,1)</f>
        <v>Thayane Freitas</v>
      </c>
      <c r="R769" s="11" t="str">
        <f>_xlfn.XLOOKUP(Base_CRM[[#This Row],[Cód do Cliente]],'[1]F &amp; O'!$A:$A,'[1]F &amp; O'!D:D,"Sem Finder",0,1)</f>
        <v>Sem Finder</v>
      </c>
      <c r="S769" s="11" t="str">
        <f>_xlfn.XLOOKUP(Base_CRM[[#This Row],[Cód do Cliente]],'[1]F &amp; O'!$A:$A,'[1]F &amp; O'!E:E,"Sem Canal",0,1)</f>
        <v>Sem Canal</v>
      </c>
      <c r="T769" s="11" t="str">
        <f t="shared" si="11"/>
        <v>Cliente XP</v>
      </c>
    </row>
    <row r="770" spans="1:20" x14ac:dyDescent="0.3">
      <c r="A770">
        <v>374847</v>
      </c>
      <c r="B770" s="8" t="s">
        <v>1730</v>
      </c>
      <c r="C770" s="9" t="s">
        <v>21</v>
      </c>
      <c r="D770" s="8">
        <v>0</v>
      </c>
      <c r="F770" t="s">
        <v>92</v>
      </c>
      <c r="G770" t="s">
        <v>1382</v>
      </c>
      <c r="H770" s="10"/>
      <c r="I770" s="10" t="s">
        <v>24</v>
      </c>
      <c r="J770" t="s">
        <v>1387</v>
      </c>
      <c r="L770" t="s">
        <v>1731</v>
      </c>
      <c r="N770" s="11" t="str">
        <f>Base_CRM[[#This Row],[Cidade]]&amp;"/"&amp;Base_CRM[[#This Row],[Estado]]</f>
        <v>RIO DE JANEIRO/RJ</v>
      </c>
      <c r="O770" s="12">
        <f>IFERROR(IF(Base_CRM[[#This Row],[PL Tailor]]&gt;Base_CRM[[#This Row],[PL Declarado]],1,Base_CRM[[#This Row],[PL Tailor]]/Base_CRM[[#This Row],[PL Declarado]]),0)</f>
        <v>0</v>
      </c>
      <c r="P770" s="11" t="str">
        <f>IF(Base_CRM[[#This Row],[Estado Civil]]="","PESSOA JURÍDICA","PESSOA FÍSICA")</f>
        <v>PESSOA JURÍDICA</v>
      </c>
      <c r="Q770" t="str">
        <f>_xlfn.XLOOKUP(Base_CRM[[#This Row],[Cód do Cliente]],'[1]F &amp; O'!$A:$A,'[1]F &amp; O'!$F:$F,_xlfn.XLOOKUP(Base_CRM[[#This Row],[Assessor]],[1]DePara!$A:$A,[1]DePara!$D:$D,"Outros",0,1),0,1)</f>
        <v>Leonardo Burle</v>
      </c>
      <c r="R770" s="11" t="str">
        <f>_xlfn.XLOOKUP(Base_CRM[[#This Row],[Cód do Cliente]],'[1]F &amp; O'!$A:$A,'[1]F &amp; O'!D:D,"Sem Finder",0,1)</f>
        <v>Sem Finder</v>
      </c>
      <c r="S770" s="11" t="str">
        <f>_xlfn.XLOOKUP(Base_CRM[[#This Row],[Cód do Cliente]],'[1]F &amp; O'!$A:$A,'[1]F &amp; O'!E:E,"Sem Canal",0,1)</f>
        <v>Sem Canal</v>
      </c>
      <c r="T770" s="11" t="str">
        <f t="shared" ref="T770:T773" si="12">"Cliente XP"</f>
        <v>Cliente XP</v>
      </c>
    </row>
  </sheetData>
  <sheetProtection autoFilter="0"/>
  <conditionalFormatting sqref="A2:A770">
    <cfRule type="duplicateValues" dxfId="13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Oliveira</dc:creator>
  <cp:lastModifiedBy>Alessandro Oliveira</cp:lastModifiedBy>
  <dcterms:created xsi:type="dcterms:W3CDTF">2026-02-12T21:02:40Z</dcterms:created>
  <dcterms:modified xsi:type="dcterms:W3CDTF">2026-02-12T21:03:03Z</dcterms:modified>
</cp:coreProperties>
</file>